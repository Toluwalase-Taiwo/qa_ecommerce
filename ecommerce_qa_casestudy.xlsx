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re Test Cases" sheetId="1" state="visible" r:id="rId1"/>
    <sheet xmlns:r="http://schemas.openxmlformats.org/officeDocument/2006/relationships" name="Bug Log" sheetId="2" state="visible" r:id="rId2"/>
    <sheet xmlns:r="http://schemas.openxmlformats.org/officeDocument/2006/relationships" name="User Profile Cases" sheetId="3" state="visible" r:id="rId3"/>
    <sheet xmlns:r="http://schemas.openxmlformats.org/officeDocument/2006/relationships" name="Coverage Summary" sheetId="4" state="visible" r:id="rId4"/>
  </sheets>
  <definedNames>
    <definedName name="_xlnm._FilterDatabase" localSheetId="0" hidden="1">'Core Test Cases'!$A$7:$M$47</definedName>
    <definedName name="_xlnm._FilterDatabase" localSheetId="1" hidden="1">'Bug Log'!$A$4:$L$10</definedName>
    <definedName name="_xlnm._FilterDatabase" localSheetId="2" hidden="1">'User Profile Cases'!$A$4:$J$74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6">
    <font>
      <name val="Arial"/>
      <color theme="1"/>
      <sz val="11"/>
      <scheme val="minor"/>
    </font>
    <font>
      <name val="Arial"/>
      <b val="1"/>
      <color rgb="FFFFFFFF"/>
      <sz val="15"/>
      <scheme val="minor"/>
    </font>
    <font/>
    <font>
      <name val="Arial"/>
      <b val="1"/>
      <color theme="1"/>
      <scheme val="minor"/>
    </font>
    <font>
      <name val="Calibri"/>
      <color theme="1"/>
      <sz val="11"/>
    </font>
    <font>
      <name val="Arial"/>
      <b val="1"/>
      <color rgb="FFFFFFFF"/>
      <scheme val="minor"/>
    </font>
    <font>
      <name val="Arial"/>
      <color theme="1"/>
      <scheme val="minor"/>
    </font>
    <font>
      <name val="Arial"/>
      <b val="1"/>
      <color rgb="FFFFFFFF"/>
      <sz val="14"/>
      <scheme val="minor"/>
    </font>
    <font>
      <name val="Arial"/>
      <i val="1"/>
      <color rgb="FF000000"/>
      <scheme val="minor"/>
    </font>
    <font>
      <name val="Arial"/>
      <color rgb="FF0563C1"/>
      <u val="single"/>
      <scheme val="minor"/>
    </font>
    <font>
      <name val="Arial"/>
      <color rgb="FF0563C1"/>
      <u val="single"/>
      <scheme val="minor"/>
    </font>
    <font>
      <name val="Arial"/>
      <i val="1"/>
      <color rgb="FF24323D"/>
      <sz val="10"/>
      <scheme val="minor"/>
    </font>
    <font>
      <name val="Arial"/>
      <b val="1"/>
      <color rgb="FF24323D"/>
      <scheme val="minor"/>
    </font>
    <font>
      <name val="Arial"/>
      <color rgb="FF24323D"/>
      <sz val="10"/>
      <scheme val="minor"/>
    </font>
    <font>
      <name val="Arial"/>
      <b val="1"/>
      <color rgb="FF24323D"/>
      <sz val="10"/>
      <scheme val="minor"/>
    </font>
    <font>
      <name val="Arial"/>
      <b val="1"/>
      <color rgb="FFFFFFFF"/>
      <sz val="13"/>
      <scheme val="minor"/>
    </font>
  </fonts>
  <fills count="14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F7FBFF"/>
        <bgColor rgb="FFF7FBFF"/>
      </patternFill>
    </fill>
    <fill>
      <patternFill patternType="solid">
        <fgColor rgb="FFFFF2CC"/>
        <bgColor rgb="FFFFF2CC"/>
      </patternFill>
    </fill>
    <fill>
      <patternFill patternType="solid">
        <fgColor rgb="FFFAFAFA"/>
        <bgColor rgb="FFFAFAFA"/>
      </patternFill>
    </fill>
    <fill>
      <patternFill patternType="solid">
        <fgColor rgb="FF2F4858"/>
        <bgColor rgb="FF2F4858"/>
      </patternFill>
    </fill>
    <fill>
      <patternFill patternType="solid">
        <fgColor rgb="FFF5F7FA"/>
        <bgColor rgb="FFF5F7FA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AF2F8"/>
        <bgColor rgb="FFEAF2F8"/>
      </patternFill>
    </fill>
    <fill>
      <patternFill patternType="solid">
        <fgColor rgb="FFF7FAFC"/>
        <bgColor rgb="FFF7FAFC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</border>
    <border>
      <bottom style="thin">
        <color rgb="FFA6A6A6"/>
      </bottom>
    </border>
    <border>
      <bottom style="thin">
        <color rgb="FFD9D9D9"/>
      </bottom>
    </border>
    <border>
      <right/>
      <bottom style="thin">
        <color rgb="FFD9D9D9"/>
      </bottom>
    </border>
    <border>
      <top style="thin">
        <color rgb="FFD7E0E8"/>
      </top>
      <bottom style="thin">
        <color rgb="FFD7E0E8"/>
      </bottom>
    </border>
    <border>
      <left/>
      <right/>
      <top/>
      <bottom/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pivotButton="0" quotePrefix="0" xfId="0"/>
    <xf numFmtId="0" fontId="4" fillId="3" borderId="4" pivotButton="0" quotePrefix="0" xfId="0"/>
    <xf numFmtId="0" fontId="4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5" fillId="2" borderId="5" applyAlignment="1" pivotButton="0" quotePrefix="0" xfId="0">
      <alignment horizontal="center" vertical="center"/>
    </xf>
    <xf numFmtId="0" fontId="4" fillId="6" borderId="6" applyAlignment="1" pivotButton="0" quotePrefix="0" xfId="0">
      <alignment vertical="top"/>
    </xf>
    <xf numFmtId="0" fontId="4" fillId="6" borderId="6" applyAlignment="1" pivotButton="0" quotePrefix="0" xfId="0">
      <alignment vertical="top" wrapText="1"/>
    </xf>
    <xf numFmtId="0" fontId="4" fillId="6" borderId="6" applyAlignment="1" pivotButton="0" quotePrefix="0" xfId="0">
      <alignment vertical="top"/>
    </xf>
    <xf numFmtId="0" fontId="4" fillId="0" borderId="6" applyAlignment="1" pivotButton="0" quotePrefix="0" xfId="0">
      <alignment vertical="top"/>
    </xf>
    <xf numFmtId="0" fontId="4" fillId="0" borderId="6" applyAlignment="1" pivotButton="0" quotePrefix="0" xfId="0">
      <alignment vertical="top" wrapText="1"/>
    </xf>
    <xf numFmtId="0" fontId="4" fillId="0" borderId="6" applyAlignment="1" pivotButton="0" quotePrefix="0" xfId="0">
      <alignment vertical="top"/>
    </xf>
    <xf numFmtId="0" fontId="4" fillId="6" borderId="6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6" fillId="0" borderId="0" pivotButton="0" quotePrefix="0" xfId="0"/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4" fontId="6" fillId="0" borderId="0" pivotButton="0" quotePrefix="0" xfId="0"/>
    <xf numFmtId="0" fontId="10" fillId="0" borderId="6" applyAlignment="1" pivotButton="0" quotePrefix="0" xfId="0">
      <alignment vertical="top" wrapText="1"/>
    </xf>
    <xf numFmtId="0" fontId="7" fillId="7" borderId="6" applyAlignment="1" pivotButton="0" quotePrefix="0" xfId="0">
      <alignment horizontal="left" vertical="center"/>
    </xf>
    <xf numFmtId="0" fontId="2" fillId="0" borderId="6" pivotButton="0" quotePrefix="0" xfId="0"/>
    <xf numFmtId="0" fontId="2" fillId="0" borderId="7" pivotButton="0" quotePrefix="0" xfId="0"/>
    <xf numFmtId="0" fontId="11" fillId="8" borderId="6" applyAlignment="1" pivotButton="0" quotePrefix="0" xfId="0">
      <alignment horizontal="left" vertical="center"/>
    </xf>
    <xf numFmtId="0" fontId="12" fillId="9" borderId="8" applyAlignment="1" pivotButton="0" quotePrefix="0" xfId="0">
      <alignment horizontal="center" vertical="center" wrapText="1"/>
    </xf>
    <xf numFmtId="0" fontId="13" fillId="10" borderId="6" applyAlignment="1" pivotButton="0" quotePrefix="0" xfId="0">
      <alignment vertical="top" wrapText="1"/>
    </xf>
    <xf numFmtId="0" fontId="14" fillId="10" borderId="6" applyAlignment="1" pivotButton="0" quotePrefix="0" xfId="0">
      <alignment horizontal="center" vertical="center" wrapText="1"/>
    </xf>
    <xf numFmtId="0" fontId="14" fillId="10" borderId="6" applyAlignment="1" pivotButton="0" quotePrefix="0" xfId="0">
      <alignment horizontal="center" vertical="center" wrapText="1"/>
    </xf>
    <xf numFmtId="0" fontId="13" fillId="11" borderId="6" applyAlignment="1" pivotButton="0" quotePrefix="0" xfId="0">
      <alignment vertical="top" wrapText="1"/>
    </xf>
    <xf numFmtId="0" fontId="14" fillId="11" borderId="6" applyAlignment="1" pivotButton="0" quotePrefix="0" xfId="0">
      <alignment horizontal="center" vertical="center" wrapText="1"/>
    </xf>
    <xf numFmtId="0" fontId="14" fillId="11" borderId="6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left" vertical="center"/>
    </xf>
    <xf numFmtId="0" fontId="12" fillId="12" borderId="8" applyAlignment="1" pivotButton="0" quotePrefix="0" xfId="0">
      <alignment horizontal="center" vertical="center" wrapText="1"/>
    </xf>
    <xf numFmtId="0" fontId="13" fillId="0" borderId="6" applyAlignment="1" pivotButton="0" quotePrefix="0" xfId="0">
      <alignment vertical="top" wrapText="1"/>
    </xf>
    <xf numFmtId="0" fontId="14" fillId="13" borderId="6" applyAlignment="1" pivotButton="0" quotePrefix="0" xfId="0">
      <alignment vertical="top" wrapText="1"/>
    </xf>
    <xf numFmtId="0" fontId="3" fillId="0" borderId="6" pivotButton="0" quotePrefix="0" xfId="0"/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9" applyAlignment="1" pivotButton="0" quotePrefix="0" xfId="0">
      <alignment horizontal="left" vertical="center"/>
    </xf>
    <xf numFmtId="0" fontId="4" fillId="4" borderId="9" applyAlignment="1" pivotButton="0" quotePrefix="0" xfId="0">
      <alignment wrapText="1"/>
    </xf>
    <xf numFmtId="0" fontId="4" fillId="5" borderId="9" applyAlignment="1" pivotButton="0" quotePrefix="0" xfId="0">
      <alignment wrapText="1"/>
    </xf>
    <xf numFmtId="0" fontId="7" fillId="2" borderId="9" applyAlignment="1" pivotButton="0" quotePrefix="0" xfId="0">
      <alignment horizontal="left" vertical="center"/>
    </xf>
    <xf numFmtId="0" fontId="8" fillId="5" borderId="9" applyAlignment="1" pivotButton="0" quotePrefix="0" xfId="0">
      <alignment horizontal="left" vertical="center"/>
    </xf>
    <xf numFmtId="0" fontId="7" fillId="7" borderId="7" applyAlignment="1" pivotButton="0" quotePrefix="0" xfId="0">
      <alignment horizontal="left" vertical="center"/>
    </xf>
    <xf numFmtId="0" fontId="0" fillId="0" borderId="6" pivotButton="0" quotePrefix="0" xfId="0"/>
    <xf numFmtId="0" fontId="11" fillId="8" borderId="7" applyAlignment="1" pivotButton="0" quotePrefix="0" xfId="0">
      <alignment horizontal="left" vertical="center"/>
    </xf>
    <xf numFmtId="0" fontId="15" fillId="7" borderId="7" applyAlignment="1" pivotButton="0" quotePrefix="0" xfId="0">
      <alignment horizontal="left" vertical="center"/>
    </xf>
  </cellXfs>
  <cellStyles count="1">
    <cellStyle name="Normal" xfId="0" builtinId="0"/>
  </cellStyles>
  <dxfs count="10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D9EAF7"/>
          <bgColor rgb="FFD9EAF7"/>
        </patternFill>
      </fill>
      <border/>
    </dxf>
    <dxf>
      <font/>
      <fill>
        <patternFill patternType="solid">
          <fgColor rgb="FFEDEDED"/>
          <bgColor rgb="FFEDEDED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4" authorId="0" shapeId="0">
      <text>
        <t>Use this column as the high-level test objective.</t>
      </text>
    </comment>
    <comment ref="I4" authorId="0" shapeId="0">
      <text>
        <t>Positive, Negative, Boundary, Edge, Security, Accessibility, UI, UX, Responsive, etc.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1485900" cy="123825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0</colOff>
      <row>7</row>
      <rowOff>0</rowOff>
    </from>
    <ext cx="1638300" cy="86677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5B9BD5"/>
    <outlinePr summaryBelow="1" summaryRight="1"/>
    <pageSetUpPr/>
  </sheetPr>
  <dimension ref="A1:M200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2.63" defaultRowHeight="15" customHeight="1"/>
  <cols>
    <col width="8.75" customWidth="1" style="44" min="1" max="1"/>
    <col width="15.75" customWidth="1" style="44" min="2" max="2"/>
    <col width="24.5" customWidth="1" style="44" min="3" max="3"/>
    <col width="15" customWidth="1" style="44" min="4" max="4"/>
    <col width="41.13" customWidth="1" style="44" min="5" max="5"/>
    <col width="33.25" customWidth="1" style="44" min="6" max="6"/>
    <col width="36.75" customWidth="1" style="44" min="7" max="7"/>
    <col width="12.25" customWidth="1" style="44" min="8" max="8"/>
    <col width="10.5" customWidth="1" style="44" min="9" max="9"/>
    <col width="12.25" customWidth="1" style="44" min="10" max="10"/>
    <col width="10.5" customWidth="1" style="44" min="11" max="11"/>
    <col width="15.75" customWidth="1" style="44" min="12" max="13"/>
    <col width="7.63" customWidth="1" style="44" min="14" max="26"/>
  </cols>
  <sheetData>
    <row r="1" ht="24" customHeight="1" s="44">
      <c r="A1" s="45" t="inlineStr">
        <is>
          <t>Ecommerce Web App QA - Core Test Scenarios</t>
        </is>
      </c>
      <c r="L1" s="4" t="inlineStr">
        <is>
          <t>Total Cases</t>
        </is>
      </c>
      <c r="M1" s="5">
        <f>COUNTA(A8:A200)</f>
        <v/>
      </c>
    </row>
    <row r="2" ht="17.25" customHeight="1" s="44">
      <c r="A2" s="46" t="inlineStr">
        <is>
          <t>Scope: Signup, Email Verification, Password Reset, Login, User Profile, Account Setup, and Discover Categories</t>
        </is>
      </c>
      <c r="L2" s="4" t="inlineStr">
        <is>
          <t>Pass</t>
        </is>
      </c>
      <c r="M2" s="5">
        <f>COUNTIF(H8:H200,"Pass")</f>
        <v/>
      </c>
    </row>
    <row r="3" ht="19.5" customHeight="1" s="44">
      <c r="L3" s="4" t="inlineStr">
        <is>
          <t>Fail</t>
        </is>
      </c>
      <c r="M3" s="5">
        <f>COUNTIF(H8:H200,"Fail")</f>
        <v/>
      </c>
    </row>
    <row r="4" ht="15" customHeight="1" s="44">
      <c r="A4" s="47" t="inlineStr">
        <is>
          <t>Use the Status dropdown in column H. Log related bug IDs when a test fails. Use the Bug Log sheet to track details. Product details have been anonymized for portfolio use.</t>
        </is>
      </c>
      <c r="L4" s="4" t="inlineStr">
        <is>
          <t>Blocked</t>
        </is>
      </c>
      <c r="M4" s="5">
        <f>COUNTIF(H8:H200,"Blocked")</f>
        <v/>
      </c>
    </row>
    <row r="5" ht="36.75" customHeight="1" s="44">
      <c r="L5" s="4" t="inlineStr">
        <is>
          <t>Not Run</t>
        </is>
      </c>
      <c r="M5" s="5">
        <f>COUNTIF(H8:H200,"Not Run")</f>
        <v/>
      </c>
    </row>
    <row r="6" ht="1.5" customHeight="1" s="44">
      <c r="L6" s="4" t="inlineStr">
        <is>
          <t>In Progress</t>
        </is>
      </c>
      <c r="M6" s="5">
        <f>COUNTIF(H8:H200,"In Progress")</f>
        <v/>
      </c>
    </row>
    <row r="7" ht="22.5" customHeight="1" s="44">
      <c r="A7" s="8" t="inlineStr">
        <is>
          <t>ID</t>
        </is>
      </c>
      <c r="B7" s="8" t="inlineStr">
        <is>
          <t>Module</t>
        </is>
      </c>
      <c r="C7" s="8" t="inlineStr">
        <is>
          <t>Scenario</t>
        </is>
      </c>
      <c r="D7" s="8" t="inlineStr">
        <is>
          <t>Priority</t>
        </is>
      </c>
      <c r="E7" s="8" t="inlineStr">
        <is>
          <t>Test Case</t>
        </is>
      </c>
      <c r="F7" s="8" t="inlineStr">
        <is>
          <t>Steps</t>
        </is>
      </c>
      <c r="G7" s="8" t="inlineStr">
        <is>
          <t>Expected Result</t>
        </is>
      </c>
      <c r="H7" s="8" t="inlineStr">
        <is>
          <t>Status</t>
        </is>
      </c>
      <c r="I7" s="8" t="inlineStr">
        <is>
          <t>Bug ID</t>
        </is>
      </c>
      <c r="J7" s="8" t="inlineStr">
        <is>
          <t>Notes</t>
        </is>
      </c>
      <c r="K7" s="8" t="n"/>
      <c r="L7" s="8" t="n"/>
      <c r="M7" s="8" t="n"/>
    </row>
    <row r="8" ht="40.5" customHeight="1" s="44">
      <c r="A8" s="11" t="inlineStr">
        <is>
          <t>TC-001</t>
        </is>
      </c>
      <c r="B8" s="11" t="inlineStr">
        <is>
          <t>Signup</t>
        </is>
      </c>
      <c r="C8" s="11" t="inlineStr">
        <is>
          <t>Happy path</t>
        </is>
      </c>
      <c r="D8" s="11" t="inlineStr">
        <is>
          <t>High</t>
        </is>
      </c>
      <c r="E8" s="11" t="inlineStr">
        <is>
          <t>Sign up with valid details</t>
        </is>
      </c>
      <c r="F8" s="15" t="inlineStr">
        <is>
          <t>Enter valid name, email, password, and confirm password. Submit the form.</t>
        </is>
      </c>
      <c r="G8" s="15" t="inlineStr">
        <is>
          <t>Account is created successfully and success feedback is shown.</t>
        </is>
      </c>
      <c r="H8" s="11" t="inlineStr">
        <is>
          <t>Pass</t>
        </is>
      </c>
      <c r="I8" s="11" t="n"/>
      <c r="J8" s="15" t="n"/>
      <c r="K8" s="14" t="n"/>
      <c r="L8" s="14" t="n"/>
      <c r="M8" s="16" t="n"/>
    </row>
    <row r="9" ht="33" customHeight="1" s="44">
      <c r="A9" s="14" t="inlineStr">
        <is>
          <t>TC-002</t>
        </is>
      </c>
      <c r="B9" s="14" t="inlineStr">
        <is>
          <t>Signup</t>
        </is>
      </c>
      <c r="C9" s="14" t="inlineStr">
        <is>
          <t>Required fields</t>
        </is>
      </c>
      <c r="D9" s="14" t="inlineStr">
        <is>
          <t>High</t>
        </is>
      </c>
      <c r="E9" s="14" t="inlineStr">
        <is>
          <t>Leave all required fields empty</t>
        </is>
      </c>
      <c r="F9" s="16" t="inlineStr">
        <is>
          <t>Open signup form, leave all required fields empty, and submit.</t>
        </is>
      </c>
      <c r="G9" s="16" t="inlineStr">
        <is>
          <t>Form submission is blocked and each required field shows a clear required-field message.</t>
        </is>
      </c>
      <c r="H9" s="14" t="inlineStr">
        <is>
          <t>Fail</t>
        </is>
      </c>
      <c r="I9" s="14" t="n"/>
      <c r="J9" s="16" t="n"/>
      <c r="K9" s="14" t="n"/>
      <c r="L9" s="14" t="n"/>
      <c r="M9" s="16" t="n"/>
    </row>
    <row r="10" ht="40.5" customHeight="1" s="44">
      <c r="A10" s="11" t="inlineStr">
        <is>
          <t>TC-003</t>
        </is>
      </c>
      <c r="B10" s="11" t="inlineStr">
        <is>
          <t>Signup</t>
        </is>
      </c>
      <c r="C10" s="11" t="inlineStr">
        <is>
          <t>Email validation</t>
        </is>
      </c>
      <c r="D10" s="11" t="inlineStr">
        <is>
          <t>High</t>
        </is>
      </c>
      <c r="E10" s="11" t="inlineStr">
        <is>
          <t>Enter invalid email format</t>
        </is>
      </c>
      <c r="F10" s="15" t="inlineStr">
        <is>
          <t>Enter an invalid email such as 'abc' and submit.</t>
        </is>
      </c>
      <c r="G10" s="15" t="inlineStr">
        <is>
          <t>Signup is blocked and a user-friendly email validation message is shown.</t>
        </is>
      </c>
      <c r="H10" s="11" t="inlineStr">
        <is>
          <t>Fail</t>
        </is>
      </c>
      <c r="I10" s="11" t="n"/>
      <c r="J10" s="15" t="inlineStr">
        <is>
          <t>Not right validation message</t>
        </is>
      </c>
      <c r="K10" s="14" t="n"/>
      <c r="L10" s="14" t="n"/>
      <c r="M10" s="16" t="n"/>
    </row>
    <row r="11" ht="69.75" customHeight="1" s="44">
      <c r="A11" s="14" t="inlineStr">
        <is>
          <t>TC-004</t>
        </is>
      </c>
      <c r="B11" s="14" t="inlineStr">
        <is>
          <t>Signup</t>
        </is>
      </c>
      <c r="C11" s="14" t="inlineStr">
        <is>
          <t>Password rules</t>
        </is>
      </c>
      <c r="D11" s="14" t="inlineStr">
        <is>
          <t>High</t>
        </is>
      </c>
      <c r="E11" s="14" t="inlineStr">
        <is>
          <t>Enter weak password</t>
        </is>
      </c>
      <c r="F11" s="16" t="n"/>
      <c r="G11" s="16" t="inlineStr">
        <is>
          <t>Signup is blocked and clear password rule guidance is shown.</t>
        </is>
      </c>
      <c r="H11" s="14" t="inlineStr">
        <is>
          <t>Fail</t>
        </is>
      </c>
      <c r="I11" s="14" t="n"/>
      <c r="J11" s="16" t="inlineStr">
        <is>
          <t>Signup isn't blocked and no clear password rule</t>
        </is>
      </c>
      <c r="K11" s="14" t="n"/>
      <c r="L11" s="14" t="n"/>
      <c r="M11" s="16" t="n"/>
    </row>
    <row r="12" ht="39.75" customHeight="1" s="44">
      <c r="A12" s="11" t="inlineStr">
        <is>
          <t>TC-005</t>
        </is>
      </c>
      <c r="B12" s="11" t="inlineStr">
        <is>
          <t>Signup</t>
        </is>
      </c>
      <c r="C12" s="11" t="inlineStr">
        <is>
          <t>Password mismatch</t>
        </is>
      </c>
      <c r="D12" s="11" t="inlineStr">
        <is>
          <t>High</t>
        </is>
      </c>
      <c r="E12" s="11" t="inlineStr">
        <is>
          <t>Password and confirm password do not match</t>
        </is>
      </c>
      <c r="F12" s="15" t="inlineStr">
        <is>
          <t>Enter different values for password and confirm password.</t>
        </is>
      </c>
      <c r="G12" s="15" t="inlineStr">
        <is>
          <t>Signup is blocked and mismatch error is shown.</t>
        </is>
      </c>
      <c r="H12" s="11" t="inlineStr">
        <is>
          <t>Pass</t>
        </is>
      </c>
      <c r="I12" s="11" t="n"/>
      <c r="J12" s="15" t="n"/>
      <c r="K12" s="14" t="n"/>
      <c r="L12" s="14" t="n"/>
      <c r="M12" s="16" t="n"/>
    </row>
    <row r="13" ht="39.75" customHeight="1" s="44">
      <c r="A13" s="14" t="inlineStr">
        <is>
          <t>TC-006</t>
        </is>
      </c>
      <c r="B13" s="14" t="inlineStr">
        <is>
          <t>Signup</t>
        </is>
      </c>
      <c r="C13" s="14" t="inlineStr">
        <is>
          <t>Duplicate account</t>
        </is>
      </c>
      <c r="D13" s="14" t="inlineStr">
        <is>
          <t>High</t>
        </is>
      </c>
      <c r="E13" s="14" t="inlineStr">
        <is>
          <t>Use already registered email</t>
        </is>
      </c>
      <c r="F13" s="16" t="inlineStr">
        <is>
          <t>Attempt signup with an email that already exists.</t>
        </is>
      </c>
      <c r="G13" s="16" t="inlineStr">
        <is>
          <t>Signup is blocked with a clear duplicate email message.</t>
        </is>
      </c>
      <c r="H13" s="14" t="inlineStr">
        <is>
          <t>Pass</t>
        </is>
      </c>
      <c r="I13" s="14" t="n"/>
      <c r="J13" s="16" t="n"/>
      <c r="K13" s="14" t="n"/>
      <c r="L13" s="14" t="n"/>
      <c r="M13" s="16" t="n"/>
    </row>
    <row r="14" ht="36" customHeight="1" s="44">
      <c r="A14" s="11" t="inlineStr">
        <is>
          <t>TC-007</t>
        </is>
      </c>
      <c r="B14" s="11" t="inlineStr">
        <is>
          <t>Signup</t>
        </is>
      </c>
      <c r="C14" s="11" t="inlineStr">
        <is>
          <t>Input handling</t>
        </is>
      </c>
      <c r="D14" s="11" t="inlineStr">
        <is>
          <t>Medium</t>
        </is>
      </c>
      <c r="E14" s="11" t="inlineStr">
        <is>
          <t>Use leading/trailing spaces</t>
        </is>
      </c>
      <c r="F14" s="15" t="inlineStr">
        <is>
          <t>Enter values with spaces around name/email and submit.</t>
        </is>
      </c>
      <c r="G14" s="15" t="inlineStr">
        <is>
          <t>Inputs are trimmed or handled correctly without breaking signup.</t>
        </is>
      </c>
      <c r="H14" s="11" t="inlineStr">
        <is>
          <t>Pass</t>
        </is>
      </c>
      <c r="I14" s="11" t="n"/>
      <c r="J14" s="15" t="n"/>
      <c r="K14" s="14" t="n"/>
      <c r="L14" s="14" t="n"/>
      <c r="M14" s="16" t="n"/>
    </row>
    <row r="15" ht="36" customHeight="1" s="44">
      <c r="A15" s="14" t="inlineStr">
        <is>
          <t>TC-008</t>
        </is>
      </c>
      <c r="B15" s="14" t="inlineStr">
        <is>
          <t>Signup</t>
        </is>
      </c>
      <c r="C15" s="14" t="inlineStr">
        <is>
          <t>Submit control</t>
        </is>
      </c>
      <c r="D15" s="14" t="inlineStr">
        <is>
          <t>Medium</t>
        </is>
      </c>
      <c r="E15" s="14" t="inlineStr">
        <is>
          <t>Click submit multiple times</t>
        </is>
      </c>
      <c r="F15" s="16" t="inlineStr">
        <is>
          <t>Fill valid details and click submit repeatedly.</t>
        </is>
      </c>
      <c r="G15" s="16" t="inlineStr">
        <is>
          <t>Only one account is created and duplicate requests are prevented.</t>
        </is>
      </c>
      <c r="H15" s="14" t="inlineStr">
        <is>
          <t>Not Run</t>
        </is>
      </c>
      <c r="I15" s="14" t="n"/>
      <c r="J15" s="16" t="n"/>
      <c r="K15" s="14" t="n"/>
      <c r="L15" s="14" t="n"/>
      <c r="M15" s="16" t="n"/>
    </row>
    <row r="16" ht="36" customHeight="1" s="44">
      <c r="A16" s="11" t="inlineStr">
        <is>
          <t>TC-009</t>
        </is>
      </c>
      <c r="B16" s="11" t="inlineStr">
        <is>
          <t>Email Verification</t>
        </is>
      </c>
      <c r="C16" s="11" t="inlineStr">
        <is>
          <t>Email delivery</t>
        </is>
      </c>
      <c r="D16" s="11" t="inlineStr">
        <is>
          <t>High</t>
        </is>
      </c>
      <c r="E16" s="11" t="inlineStr">
        <is>
          <t>Verification email is sent after signup</t>
        </is>
      </c>
      <c r="F16" s="15" t="inlineStr">
        <is>
          <t>Create a new account that requires verification.</t>
        </is>
      </c>
      <c r="G16" s="15" t="inlineStr">
        <is>
          <t>Verification email is sent to the correct address.</t>
        </is>
      </c>
      <c r="H16" s="11" t="inlineStr">
        <is>
          <t>Pass</t>
        </is>
      </c>
      <c r="I16" s="11" t="n"/>
      <c r="J16" s="15" t="n"/>
      <c r="K16" s="14" t="n"/>
      <c r="L16" s="14" t="n"/>
      <c r="M16" s="16" t="n"/>
    </row>
    <row r="17" ht="73.5" customHeight="1" s="44">
      <c r="A17" s="14" t="inlineStr">
        <is>
          <t>TC-010</t>
        </is>
      </c>
      <c r="B17" s="14" t="inlineStr">
        <is>
          <t>Email Verification</t>
        </is>
      </c>
      <c r="C17" s="14" t="inlineStr">
        <is>
          <t>Link behavior</t>
        </is>
      </c>
      <c r="D17" s="14" t="inlineStr">
        <is>
          <t>High</t>
        </is>
      </c>
      <c r="E17" s="14" t="inlineStr">
        <is>
          <t>Verification link works</t>
        </is>
      </c>
      <c r="F17" s="16" t="inlineStr">
        <is>
          <t>Open verification email and click the verification link.</t>
        </is>
      </c>
      <c r="G17" s="16" t="inlineStr">
        <is>
          <t>User is verified successfully and lands on the correct page.</t>
        </is>
      </c>
      <c r="H17" s="14" t="inlineStr">
        <is>
          <t>Pass</t>
        </is>
      </c>
      <c r="I17" s="14" t="n"/>
      <c r="J17" s="16" t="n"/>
      <c r="K17" s="14" t="n"/>
      <c r="L17" s="14" t="n"/>
      <c r="M17" s="16" t="n"/>
    </row>
    <row r="18" ht="45" customHeight="1" s="44">
      <c r="A18" s="11" t="inlineStr">
        <is>
          <t>TC-011</t>
        </is>
      </c>
      <c r="B18" s="11" t="inlineStr">
        <is>
          <t>Email Verification</t>
        </is>
      </c>
      <c r="C18" s="11" t="inlineStr">
        <is>
          <t>Pre-verification access</t>
        </is>
      </c>
      <c r="D18" s="11" t="inlineStr">
        <is>
          <t>High</t>
        </is>
      </c>
      <c r="E18" s="11" t="inlineStr">
        <is>
          <t>Try login before verification</t>
        </is>
      </c>
      <c r="F18" s="15" t="inlineStr">
        <is>
          <t>Attempt to log in before verifying the account.</t>
        </is>
      </c>
      <c r="G18" s="15" t="inlineStr">
        <is>
          <t>System blocks or limits access and shows a clear message.</t>
        </is>
      </c>
      <c r="H18" s="11" t="inlineStr">
        <is>
          <t>Pass</t>
        </is>
      </c>
      <c r="I18" s="11" t="n"/>
      <c r="J18" s="15" t="n"/>
      <c r="K18" s="14" t="n"/>
      <c r="L18" s="14" t="n"/>
      <c r="M18" s="16" t="n"/>
    </row>
    <row r="19" ht="51.75" customHeight="1" s="44">
      <c r="A19" s="14" t="inlineStr">
        <is>
          <t>TC-012</t>
        </is>
      </c>
      <c r="B19" s="14" t="inlineStr">
        <is>
          <t>Email Verification</t>
        </is>
      </c>
      <c r="C19" s="14" t="inlineStr">
        <is>
          <t>Resend flow</t>
        </is>
      </c>
      <c r="D19" s="14" t="inlineStr">
        <is>
          <t>Medium</t>
        </is>
      </c>
      <c r="E19" s="14" t="inlineStr">
        <is>
          <t>Resend verification email</t>
        </is>
      </c>
      <c r="F19" s="16" t="inlineStr">
        <is>
          <t>Use resend verification option from login or verification prompt.</t>
        </is>
      </c>
      <c r="G19" s="16" t="inlineStr">
        <is>
          <t>A new verification email is sent successfully.</t>
        </is>
      </c>
      <c r="H19" s="14" t="inlineStr">
        <is>
          <t>Pass</t>
        </is>
      </c>
      <c r="I19" s="14" t="n"/>
      <c r="J19" s="16" t="n"/>
      <c r="K19" s="14" t="n"/>
      <c r="L19" s="14" t="n"/>
      <c r="M19" s="16" t="n"/>
    </row>
    <row r="20" ht="51.75" customHeight="1" s="44">
      <c r="A20" s="11" t="inlineStr">
        <is>
          <t>TC-013</t>
        </is>
      </c>
      <c r="B20" s="11" t="inlineStr">
        <is>
          <t>Email Verification</t>
        </is>
      </c>
      <c r="C20" s="11" t="inlineStr">
        <is>
          <t>Invalid/expired token</t>
        </is>
      </c>
      <c r="D20" s="11" t="inlineStr">
        <is>
          <t>High</t>
        </is>
      </c>
      <c r="E20" s="11" t="inlineStr">
        <is>
          <t>Use invalid or expired verification link</t>
        </is>
      </c>
      <c r="F20" s="15" t="inlineStr">
        <is>
          <t>Open a bad or expired verification link.</t>
        </is>
      </c>
      <c r="G20" s="15" t="inlineStr">
        <is>
          <t>System handles it gracefully and shows a helpful message.</t>
        </is>
      </c>
      <c r="H20" s="11" t="inlineStr">
        <is>
          <t>Pass</t>
        </is>
      </c>
      <c r="I20" s="11" t="n"/>
      <c r="J20" s="15" t="n"/>
      <c r="K20" s="14" t="n"/>
      <c r="L20" s="14" t="n"/>
      <c r="M20" s="16" t="n"/>
    </row>
    <row r="21" ht="47.25" customHeight="1" s="44">
      <c r="A21" s="14" t="inlineStr">
        <is>
          <t>TC-014</t>
        </is>
      </c>
      <c r="B21" s="14" t="inlineStr">
        <is>
          <t>Email Verification</t>
        </is>
      </c>
      <c r="C21" s="14" t="inlineStr">
        <is>
          <t>Repeat use</t>
        </is>
      </c>
      <c r="D21" s="14" t="inlineStr">
        <is>
          <t>Low</t>
        </is>
      </c>
      <c r="E21" s="14" t="inlineStr">
        <is>
          <t>Reuse verification link after success</t>
        </is>
      </c>
      <c r="F21" s="16" t="inlineStr">
        <is>
          <t>Verify once, then click the same link again.</t>
        </is>
      </c>
      <c r="G21" s="16" t="inlineStr">
        <is>
          <t>System safely shows already verified or invalid-link feedback.</t>
        </is>
      </c>
      <c r="H21" s="14" t="inlineStr">
        <is>
          <t>Pass</t>
        </is>
      </c>
      <c r="I21" s="14" t="n"/>
      <c r="J21" s="16" t="n"/>
      <c r="K21" s="14" t="n"/>
      <c r="L21" s="14" t="n"/>
      <c r="M21" s="16" t="n"/>
    </row>
    <row r="22" ht="36" customHeight="1" s="44">
      <c r="A22" s="11" t="inlineStr">
        <is>
          <t>TC-015</t>
        </is>
      </c>
      <c r="B22" s="11" t="inlineStr">
        <is>
          <t>Password Reset</t>
        </is>
      </c>
      <c r="C22" s="11" t="inlineStr">
        <is>
          <t>Reset request</t>
        </is>
      </c>
      <c r="D22" s="11" t="inlineStr">
        <is>
          <t>High</t>
        </is>
      </c>
      <c r="E22" s="11" t="inlineStr">
        <is>
          <t>Request password reset with registered email</t>
        </is>
      </c>
      <c r="F22" s="15" t="inlineStr">
        <is>
          <t>Open forgot password, enter a registered email, and submit.</t>
        </is>
      </c>
      <c r="G22" s="15" t="inlineStr">
        <is>
          <t>Reset email is sent successfully.</t>
        </is>
      </c>
      <c r="H22" s="11" t="inlineStr">
        <is>
          <t>Pass</t>
        </is>
      </c>
      <c r="I22" s="11" t="n"/>
      <c r="J22" s="15" t="n"/>
      <c r="K22" s="14" t="n"/>
      <c r="L22" s="14" t="n"/>
      <c r="M22" s="16" t="n"/>
    </row>
    <row r="23" ht="45" customHeight="1" s="44">
      <c r="A23" s="14" t="inlineStr">
        <is>
          <t>TC-016</t>
        </is>
      </c>
      <c r="B23" s="14" t="inlineStr">
        <is>
          <t>Password Reset</t>
        </is>
      </c>
      <c r="C23" s="14" t="inlineStr">
        <is>
          <t>Unknown email handling</t>
        </is>
      </c>
      <c r="D23" s="14" t="inlineStr">
        <is>
          <t>High</t>
        </is>
      </c>
      <c r="E23" s="14" t="inlineStr">
        <is>
          <t>Request reset with unregistered email</t>
        </is>
      </c>
      <c r="F23" s="16" t="inlineStr">
        <is>
          <t>Enter an unregistered email in forgot password.</t>
        </is>
      </c>
      <c r="G23" s="16" t="inlineStr">
        <is>
          <t>System handles request safely without exposing account existence improperly.</t>
        </is>
      </c>
      <c r="H23" s="14" t="inlineStr">
        <is>
          <t>Pass</t>
        </is>
      </c>
      <c r="I23" s="14" t="n"/>
      <c r="J23" s="16" t="n"/>
      <c r="K23" s="14" t="n"/>
      <c r="L23" s="14" t="n"/>
      <c r="M23" s="16" t="n"/>
    </row>
    <row r="24" ht="42" customHeight="1" s="44">
      <c r="A24" s="11" t="inlineStr">
        <is>
          <t>TC-017</t>
        </is>
      </c>
      <c r="B24" s="11" t="inlineStr">
        <is>
          <t>Password Reset</t>
        </is>
      </c>
      <c r="C24" s="11" t="inlineStr">
        <is>
          <t>Reset link works</t>
        </is>
      </c>
      <c r="D24" s="11" t="inlineStr">
        <is>
          <t>High</t>
        </is>
      </c>
      <c r="E24" s="11" t="inlineStr">
        <is>
          <t>Open valid reset link</t>
        </is>
      </c>
      <c r="F24" s="15" t="inlineStr">
        <is>
          <t>Click the reset link from the email.</t>
        </is>
      </c>
      <c r="G24" s="15" t="inlineStr">
        <is>
          <t>Reset page opens correctly and accepts a new password.</t>
        </is>
      </c>
      <c r="H24" s="11" t="inlineStr">
        <is>
          <t>Pass</t>
        </is>
      </c>
      <c r="I24" s="11" t="n"/>
      <c r="J24" s="15" t="n"/>
      <c r="K24" s="14" t="n"/>
      <c r="L24" s="14" t="n"/>
      <c r="M24" s="16" t="n"/>
    </row>
    <row r="25" ht="40.5" customHeight="1" s="44">
      <c r="A25" s="14" t="inlineStr">
        <is>
          <t>TC-018</t>
        </is>
      </c>
      <c r="B25" s="14" t="inlineStr">
        <is>
          <t>Password Reset</t>
        </is>
      </c>
      <c r="C25" s="14" t="inlineStr">
        <is>
          <t>Set new password</t>
        </is>
      </c>
      <c r="D25" s="14" t="inlineStr">
        <is>
          <t>High</t>
        </is>
      </c>
      <c r="E25" s="14" t="inlineStr">
        <is>
          <t>Set a valid new password</t>
        </is>
      </c>
      <c r="F25" s="16" t="inlineStr">
        <is>
          <t>Enter a new valid password and submit reset.</t>
        </is>
      </c>
      <c r="G25" s="16" t="inlineStr">
        <is>
          <t>Password is updated successfully.</t>
        </is>
      </c>
      <c r="H25" s="14" t="inlineStr">
        <is>
          <t>Pass</t>
        </is>
      </c>
      <c r="I25" s="14" t="n"/>
      <c r="J25" s="16" t="n"/>
      <c r="K25" s="14" t="n"/>
      <c r="L25" s="14" t="n"/>
      <c r="M25" s="16" t="n"/>
    </row>
    <row r="26" ht="36.75" customHeight="1" s="44">
      <c r="A26" s="11" t="inlineStr">
        <is>
          <t>TC-019</t>
        </is>
      </c>
      <c r="B26" s="11" t="inlineStr">
        <is>
          <t>Password Reset</t>
        </is>
      </c>
      <c r="C26" s="11" t="inlineStr">
        <is>
          <t>Old password invalidation</t>
        </is>
      </c>
      <c r="D26" s="11" t="inlineStr">
        <is>
          <t>High</t>
        </is>
      </c>
      <c r="E26" s="11" t="inlineStr">
        <is>
          <t>Old password no longer works</t>
        </is>
      </c>
      <c r="F26" s="15" t="inlineStr">
        <is>
          <t>After reset, attempt login with old password.</t>
        </is>
      </c>
      <c r="G26" s="15" t="inlineStr">
        <is>
          <t>Login with old password fails.</t>
        </is>
      </c>
      <c r="H26" s="11" t="inlineStr">
        <is>
          <t>Pass</t>
        </is>
      </c>
      <c r="I26" s="11" t="n"/>
      <c r="J26" s="15" t="n"/>
      <c r="K26" s="14" t="n"/>
      <c r="L26" s="14" t="n"/>
      <c r="M26" s="16" t="n"/>
    </row>
    <row r="27" ht="36" customHeight="1" s="44">
      <c r="A27" s="14" t="inlineStr">
        <is>
          <t>TC-020</t>
        </is>
      </c>
      <c r="B27" s="14" t="inlineStr">
        <is>
          <t>Password Reset</t>
        </is>
      </c>
      <c r="C27" s="14" t="inlineStr">
        <is>
          <t>New password login</t>
        </is>
      </c>
      <c r="D27" s="14" t="inlineStr">
        <is>
          <t>High</t>
        </is>
      </c>
      <c r="E27" s="14" t="inlineStr">
        <is>
          <t>Login with new password</t>
        </is>
      </c>
      <c r="F27" s="16" t="inlineStr">
        <is>
          <t>After reset, log in with the new password.</t>
        </is>
      </c>
      <c r="G27" s="16" t="inlineStr">
        <is>
          <t>Login succeeds with the new password.</t>
        </is>
      </c>
      <c r="H27" s="14" t="inlineStr">
        <is>
          <t>Pass</t>
        </is>
      </c>
      <c r="I27" s="14" t="n"/>
      <c r="J27" s="16" t="n"/>
      <c r="K27" s="14" t="n"/>
      <c r="L27" s="14" t="n"/>
      <c r="M27" s="16" t="n"/>
    </row>
    <row r="28" ht="32.25" customHeight="1" s="44">
      <c r="A28" s="11" t="inlineStr">
        <is>
          <t>TC-021</t>
        </is>
      </c>
      <c r="B28" s="11" t="inlineStr">
        <is>
          <t>Password Reset</t>
        </is>
      </c>
      <c r="C28" s="11" t="inlineStr">
        <is>
          <t>Expired/invalid reset token</t>
        </is>
      </c>
      <c r="D28" s="11" t="inlineStr">
        <is>
          <t>High</t>
        </is>
      </c>
      <c r="E28" s="11" t="inlineStr">
        <is>
          <t>Use invalid or expired reset link</t>
        </is>
      </c>
      <c r="F28" s="15" t="inlineStr">
        <is>
          <t>Open a bad or expired reset link.</t>
        </is>
      </c>
      <c r="G28" s="15" t="inlineStr">
        <is>
          <t>System blocks reset and shows a clear message.</t>
        </is>
      </c>
      <c r="H28" s="11" t="inlineStr">
        <is>
          <t>Pass</t>
        </is>
      </c>
      <c r="I28" s="11" t="n"/>
      <c r="J28" s="15" t="n"/>
      <c r="K28" s="14" t="n"/>
      <c r="L28" s="14" t="n"/>
      <c r="M28" s="16" t="n"/>
    </row>
    <row r="29" ht="35.25" customHeight="1" s="44">
      <c r="A29" s="14" t="inlineStr">
        <is>
          <t>TC-022</t>
        </is>
      </c>
      <c r="B29" s="14" t="inlineStr">
        <is>
          <t>Password Reset</t>
        </is>
      </c>
      <c r="C29" s="14" t="inlineStr">
        <is>
          <t>Link reuse</t>
        </is>
      </c>
      <c r="D29" s="14" t="inlineStr">
        <is>
          <t>Medium</t>
        </is>
      </c>
      <c r="E29" s="14" t="inlineStr">
        <is>
          <t>Reuse reset OTP after successful reset</t>
        </is>
      </c>
      <c r="F29" s="16" t="inlineStr">
        <is>
          <t>Complete reset once, then reuse the same OTP</t>
        </is>
      </c>
      <c r="G29" s="16" t="inlineStr">
        <is>
          <t>System rejects reused token or handles it safely.</t>
        </is>
      </c>
      <c r="H29" s="14" t="inlineStr">
        <is>
          <t>Pass</t>
        </is>
      </c>
      <c r="I29" s="14" t="n"/>
      <c r="J29" s="16" t="n"/>
      <c r="K29" s="14" t="n"/>
      <c r="L29" s="14" t="n"/>
      <c r="M29" s="16" t="n"/>
    </row>
    <row r="30" ht="44.25" customHeight="1" s="44">
      <c r="A30" s="11" t="inlineStr">
        <is>
          <t>TC-023</t>
        </is>
      </c>
      <c r="B30" s="11" t="inlineStr">
        <is>
          <t>Login</t>
        </is>
      </c>
      <c r="C30" s="11" t="inlineStr">
        <is>
          <t>Verified login</t>
        </is>
      </c>
      <c r="D30" s="11" t="inlineStr">
        <is>
          <t>High</t>
        </is>
      </c>
      <c r="E30" s="11" t="inlineStr">
        <is>
          <t>Login with verified account</t>
        </is>
      </c>
      <c r="F30" s="15" t="inlineStr">
        <is>
          <t>Use correct credentials for a verified user.</t>
        </is>
      </c>
      <c r="G30" s="15" t="inlineStr">
        <is>
          <t>User logs in successfully and is redirected correctly.</t>
        </is>
      </c>
      <c r="H30" s="11" t="inlineStr">
        <is>
          <t>Pass</t>
        </is>
      </c>
      <c r="I30" s="11" t="n"/>
      <c r="J30" s="15" t="n"/>
      <c r="K30" s="14" t="n"/>
      <c r="L30" s="14" t="n"/>
      <c r="M30" s="16" t="n"/>
    </row>
    <row r="31" ht="21" customHeight="1" s="44">
      <c r="A31" s="14" t="inlineStr">
        <is>
          <t>TC-024</t>
        </is>
      </c>
      <c r="B31" s="14" t="inlineStr">
        <is>
          <t>Login</t>
        </is>
      </c>
      <c r="C31" s="14" t="inlineStr">
        <is>
          <t>Invalid password</t>
        </is>
      </c>
      <c r="D31" s="14" t="inlineStr">
        <is>
          <t>High</t>
        </is>
      </c>
      <c r="E31" s="14" t="inlineStr">
        <is>
          <t>Login with wrong password</t>
        </is>
      </c>
      <c r="F31" s="16" t="inlineStr">
        <is>
          <t>Use a valid email with a wrong password.</t>
        </is>
      </c>
      <c r="G31" s="16" t="inlineStr">
        <is>
          <t>Login is blocked with correct error feedback.</t>
        </is>
      </c>
      <c r="H31" s="14" t="inlineStr">
        <is>
          <t>Pass</t>
        </is>
      </c>
      <c r="I31" s="14" t="n"/>
      <c r="J31" s="16" t="n"/>
      <c r="K31" s="14" t="n"/>
      <c r="L31" s="14" t="n"/>
      <c r="M31" s="16" t="n"/>
    </row>
    <row r="32" ht="21" customHeight="1" s="44">
      <c r="A32" s="11" t="inlineStr">
        <is>
          <t>TC-025</t>
        </is>
      </c>
      <c r="B32" s="11" t="inlineStr">
        <is>
          <t>Login</t>
        </is>
      </c>
      <c r="C32" s="11" t="inlineStr">
        <is>
          <t>Session handling</t>
        </is>
      </c>
      <c r="D32" s="11" t="inlineStr">
        <is>
          <t>Medium</t>
        </is>
      </c>
      <c r="E32" s="11" t="inlineStr">
        <is>
          <t>Refresh after login</t>
        </is>
      </c>
      <c r="F32" s="15" t="inlineStr">
        <is>
          <t>Login successfully and refresh the page.</t>
        </is>
      </c>
      <c r="G32" s="15" t="inlineStr">
        <is>
          <t>Session remains active if expected.</t>
        </is>
      </c>
      <c r="H32" s="11" t="inlineStr">
        <is>
          <t>Not Run</t>
        </is>
      </c>
      <c r="I32" s="11" t="n"/>
      <c r="J32" s="15" t="n"/>
      <c r="K32" s="14" t="n"/>
      <c r="L32" s="14" t="n"/>
      <c r="M32" s="16" t="n"/>
    </row>
    <row r="33" ht="42" customHeight="1" s="44">
      <c r="A33" s="14" t="inlineStr">
        <is>
          <t>TC-026</t>
        </is>
      </c>
      <c r="B33" s="14" t="inlineStr">
        <is>
          <t>Login</t>
        </is>
      </c>
      <c r="C33" s="14" t="inlineStr">
        <is>
          <t>Logout</t>
        </is>
      </c>
      <c r="D33" s="14" t="inlineStr">
        <is>
          <t>Medium</t>
        </is>
      </c>
      <c r="E33" s="14" t="inlineStr">
        <is>
          <t>Logout flow works</t>
        </is>
      </c>
      <c r="F33" s="16" t="inlineStr">
        <is>
          <t>Log in and then use logout action.</t>
        </is>
      </c>
      <c r="G33" s="16" t="inlineStr">
        <is>
          <t>User is logged out and protected pages are no longer accessible.</t>
        </is>
      </c>
      <c r="H33" s="14" t="inlineStr">
        <is>
          <t>Pass</t>
        </is>
      </c>
      <c r="I33" s="14" t="n"/>
      <c r="J33" s="16" t="n"/>
      <c r="K33" s="14" t="n"/>
      <c r="L33" s="14" t="n"/>
      <c r="M33" s="16" t="n"/>
    </row>
    <row r="34" ht="21" customHeight="1" s="44">
      <c r="A34" s="11" t="inlineStr">
        <is>
          <t>TC-027</t>
        </is>
      </c>
      <c r="B34" s="11" t="inlineStr">
        <is>
          <t>User Profile</t>
        </is>
      </c>
      <c r="C34" s="11" t="inlineStr">
        <is>
          <t>Profile load</t>
        </is>
      </c>
      <c r="D34" s="11" t="inlineStr">
        <is>
          <t>High</t>
        </is>
      </c>
      <c r="E34" s="11" t="inlineStr">
        <is>
          <t>Profile page loads current user data</t>
        </is>
      </c>
      <c r="F34" s="15" t="inlineStr">
        <is>
          <t>Log in and open profile/account page.</t>
        </is>
      </c>
      <c r="G34" s="15" t="inlineStr">
        <is>
          <t>Current user details display correctly.</t>
        </is>
      </c>
      <c r="H34" s="11" t="inlineStr">
        <is>
          <t>Not Run</t>
        </is>
      </c>
      <c r="I34" s="11" t="n"/>
      <c r="J34" s="15" t="n"/>
      <c r="K34" s="14" t="n"/>
      <c r="L34" s="14" t="n"/>
      <c r="M34" s="16" t="n"/>
    </row>
    <row r="35" ht="42.75" customHeight="1" s="44">
      <c r="A35" s="14" t="inlineStr">
        <is>
          <t>TC-028</t>
        </is>
      </c>
      <c r="B35" s="14" t="inlineStr">
        <is>
          <t>User Profile</t>
        </is>
      </c>
      <c r="C35" s="14" t="inlineStr">
        <is>
          <t>Update profile</t>
        </is>
      </c>
      <c r="D35" s="14" t="inlineStr">
        <is>
          <t>High</t>
        </is>
      </c>
      <c r="E35" s="14" t="inlineStr">
        <is>
          <t>Update profile with valid data</t>
        </is>
      </c>
      <c r="F35" s="16" t="inlineStr">
        <is>
          <t>Edit profile fields and save.</t>
        </is>
      </c>
      <c r="G35" s="16" t="inlineStr">
        <is>
          <t>Changes save successfully and success feedback is shown.</t>
        </is>
      </c>
      <c r="H35" s="14" t="inlineStr">
        <is>
          <t>Pass</t>
        </is>
      </c>
      <c r="I35" s="14" t="n"/>
      <c r="J35" s="16" t="n"/>
      <c r="K35" s="14" t="n"/>
      <c r="L35" s="14" t="n"/>
      <c r="M35" s="16" t="n"/>
    </row>
    <row r="36" ht="36" customHeight="1" s="44">
      <c r="A36" s="11" t="inlineStr">
        <is>
          <t>TC-029</t>
        </is>
      </c>
      <c r="B36" s="11" t="inlineStr">
        <is>
          <t>User Profile</t>
        </is>
      </c>
      <c r="C36" s="11" t="inlineStr">
        <is>
          <t>Field validation</t>
        </is>
      </c>
      <c r="D36" s="11" t="inlineStr">
        <is>
          <t>Medium</t>
        </is>
      </c>
      <c r="E36" s="11" t="inlineStr">
        <is>
          <t>Save invalid profile data</t>
        </is>
      </c>
      <c r="F36" s="15" t="inlineStr">
        <is>
          <t>Enter invalid data such as bad phone/email format and save.</t>
        </is>
      </c>
      <c r="G36" s="15" t="inlineStr">
        <is>
          <t>Save is blocked with clear validation messages.</t>
        </is>
      </c>
      <c r="H36" s="11" t="inlineStr">
        <is>
          <t>Not Run</t>
        </is>
      </c>
      <c r="I36" s="11" t="n"/>
      <c r="J36" s="15" t="n"/>
      <c r="K36" s="14" t="n"/>
      <c r="L36" s="14" t="n"/>
      <c r="M36" s="16" t="n"/>
    </row>
    <row r="37" ht="37.5" customHeight="1" s="44">
      <c r="A37" s="14" t="inlineStr">
        <is>
          <t>TC-030</t>
        </is>
      </c>
      <c r="B37" s="14" t="inlineStr">
        <is>
          <t>User Profile</t>
        </is>
      </c>
      <c r="C37" s="14" t="inlineStr">
        <is>
          <t>Persistence</t>
        </is>
      </c>
      <c r="D37" s="14" t="inlineStr">
        <is>
          <t>Medium</t>
        </is>
      </c>
      <c r="E37" s="14" t="inlineStr">
        <is>
          <t>Profile changes persist after refresh/relogin</t>
        </is>
      </c>
      <c r="F37" s="16" t="inlineStr">
        <is>
          <t>Update profile, refresh, log out, and log back in.</t>
        </is>
      </c>
      <c r="G37" s="16" t="inlineStr">
        <is>
          <t>Saved changes remain visible.</t>
        </is>
      </c>
      <c r="H37" s="14" t="inlineStr">
        <is>
          <t>Pass</t>
        </is>
      </c>
      <c r="I37" s="14" t="n"/>
      <c r="J37" s="16" t="n"/>
      <c r="K37" s="14" t="n"/>
      <c r="L37" s="14" t="n"/>
      <c r="M37" s="16" t="n"/>
    </row>
    <row r="38" ht="47.25" customHeight="1" s="44">
      <c r="A38" s="11" t="inlineStr">
        <is>
          <t>TC-031</t>
        </is>
      </c>
      <c r="B38" s="11" t="inlineStr">
        <is>
          <t>Account Setup</t>
        </is>
      </c>
      <c r="C38" s="11" t="inlineStr">
        <is>
          <t>Onboarding start</t>
        </is>
      </c>
      <c r="D38" s="11" t="inlineStr">
        <is>
          <t>High</t>
        </is>
      </c>
      <c r="E38" s="11" t="inlineStr">
        <is>
          <t>New user is taken into setup flow</t>
        </is>
      </c>
      <c r="F38" s="15" t="inlineStr">
        <is>
          <t>Create a new account and enter the app.</t>
        </is>
      </c>
      <c r="G38" s="15" t="inlineStr">
        <is>
          <t>Account setup/onboarding starts at the correct step.</t>
        </is>
      </c>
      <c r="H38" s="11" t="inlineStr">
        <is>
          <t>Not Run</t>
        </is>
      </c>
      <c r="I38" s="11" t="n"/>
      <c r="J38" s="15" t="n"/>
      <c r="K38" s="14" t="n"/>
      <c r="L38" s="14" t="n"/>
      <c r="M38" s="16" t="n"/>
    </row>
    <row r="39" ht="32.25" customHeight="1" s="44">
      <c r="A39" s="14" t="inlineStr">
        <is>
          <t>TC-032</t>
        </is>
      </c>
      <c r="B39" s="14" t="inlineStr">
        <is>
          <t>Account Setup</t>
        </is>
      </c>
      <c r="C39" s="14" t="inlineStr">
        <is>
          <t>Required steps</t>
        </is>
      </c>
      <c r="D39" s="14" t="inlineStr">
        <is>
          <t>High</t>
        </is>
      </c>
      <c r="E39" s="14" t="inlineStr">
        <is>
          <t>Cannot skip required setup fields</t>
        </is>
      </c>
      <c r="F39" s="16" t="inlineStr">
        <is>
          <t>Leave required onboarding fields empty and continue.</t>
        </is>
      </c>
      <c r="G39" s="16" t="inlineStr">
        <is>
          <t>Progress is blocked until required details are completed.</t>
        </is>
      </c>
      <c r="H39" s="14" t="inlineStr">
        <is>
          <t>Fail</t>
        </is>
      </c>
      <c r="I39" s="14" t="n"/>
      <c r="J39" s="16" t="n"/>
      <c r="K39" s="14" t="n"/>
      <c r="L39" s="14" t="n"/>
      <c r="M39" s="16" t="n"/>
    </row>
    <row r="40" ht="32.25" customHeight="1" s="44">
      <c r="A40" s="11" t="inlineStr">
        <is>
          <t>TC-033</t>
        </is>
      </c>
      <c r="B40" s="11" t="inlineStr">
        <is>
          <t>Account Setup</t>
        </is>
      </c>
      <c r="C40" s="11" t="inlineStr">
        <is>
          <t>Navigation</t>
        </is>
      </c>
      <c r="D40" s="11" t="inlineStr">
        <is>
          <t>Medium</t>
        </is>
      </c>
      <c r="E40" s="11" t="inlineStr">
        <is>
          <t>Forward/backward navigation keeps data</t>
        </is>
      </c>
      <c r="F40" s="15" t="inlineStr">
        <is>
          <t>Move between setup steps after entering data.</t>
        </is>
      </c>
      <c r="G40" s="15" t="inlineStr">
        <is>
          <t>Entered data is retained when moving across steps.</t>
        </is>
      </c>
      <c r="H40" s="11" t="inlineStr">
        <is>
          <t>Not Run</t>
        </is>
      </c>
      <c r="I40" s="11" t="n"/>
      <c r="J40" s="15" t="n"/>
      <c r="K40" s="14" t="n"/>
      <c r="L40" s="14" t="n"/>
      <c r="M40" s="16" t="n"/>
    </row>
    <row r="41" ht="21" customHeight="1" s="44">
      <c r="A41" s="14" t="inlineStr">
        <is>
          <t>TC-034</t>
        </is>
      </c>
      <c r="B41" s="14" t="inlineStr">
        <is>
          <t>Account Setup</t>
        </is>
      </c>
      <c r="C41" s="14" t="inlineStr">
        <is>
          <t>Resume flow</t>
        </is>
      </c>
      <c r="D41" s="14" t="inlineStr">
        <is>
          <t>Medium</t>
        </is>
      </c>
      <c r="E41" s="14" t="inlineStr">
        <is>
          <t>Resume partially completed setup</t>
        </is>
      </c>
      <c r="F41" s="16" t="inlineStr">
        <is>
          <t>Exit midway and return later.</t>
        </is>
      </c>
      <c r="G41" s="16" t="inlineStr">
        <is>
          <t>User resumes from the correct state or step.</t>
        </is>
      </c>
      <c r="H41" s="14" t="inlineStr">
        <is>
          <t>Not Run</t>
        </is>
      </c>
      <c r="I41" s="14" t="n"/>
      <c r="J41" s="16" t="n"/>
      <c r="K41" s="14" t="n"/>
      <c r="L41" s="14" t="n"/>
      <c r="M41" s="16" t="n"/>
    </row>
    <row r="42" ht="39.75" customHeight="1" s="44">
      <c r="A42" s="11" t="inlineStr">
        <is>
          <t>TC-035</t>
        </is>
      </c>
      <c r="B42" s="11" t="inlineStr">
        <is>
          <t>Account Setup</t>
        </is>
      </c>
      <c r="C42" s="11" t="inlineStr">
        <is>
          <t>Completion</t>
        </is>
      </c>
      <c r="D42" s="11" t="inlineStr">
        <is>
          <t>High</t>
        </is>
      </c>
      <c r="E42" s="11" t="inlineStr">
        <is>
          <t>Complete account setup</t>
        </is>
      </c>
      <c r="F42" s="15" t="inlineStr">
        <is>
          <t>Finish all required setup steps.</t>
        </is>
      </c>
      <c r="G42" s="15" t="inlineStr">
        <is>
          <t>User lands on the correct post-setup page/dashboard.</t>
        </is>
      </c>
      <c r="H42" s="11" t="inlineStr">
        <is>
          <t>Pass</t>
        </is>
      </c>
      <c r="I42" s="11" t="n"/>
      <c r="J42" s="15" t="n"/>
      <c r="K42" s="14" t="n"/>
      <c r="L42" s="14" t="n"/>
      <c r="M42" s="16" t="n"/>
    </row>
    <row r="43" ht="56.25" customHeight="1" s="44">
      <c r="A43" s="14" t="inlineStr">
        <is>
          <t>TC-036</t>
        </is>
      </c>
      <c r="B43" s="14" t="inlineStr">
        <is>
          <t>Discover Categories</t>
        </is>
      </c>
      <c r="C43" s="14" t="inlineStr">
        <is>
          <t>Visibility</t>
        </is>
      </c>
      <c r="D43" s="14" t="inlineStr">
        <is>
          <t>High</t>
        </is>
      </c>
      <c r="E43" s="14" t="inlineStr">
        <is>
          <t>All 9 categories display on Discover page</t>
        </is>
      </c>
      <c r="F43" s="16" t="inlineStr">
        <is>
          <t>Open the Discover/Home page.</t>
        </is>
      </c>
      <c r="G43" s="16" t="inlineStr">
        <is>
          <t>All 9 expected categories are visible with correct names.</t>
        </is>
      </c>
      <c r="H43" s="14" t="inlineStr">
        <is>
          <t>Not Run</t>
        </is>
      </c>
      <c r="I43" s="14" t="n"/>
      <c r="J43" s="16" t="n"/>
      <c r="K43" s="14" t="n"/>
      <c r="L43" s="14" t="n"/>
      <c r="M43" s="16" t="n"/>
    </row>
    <row r="44" ht="49.5" customHeight="1" s="44">
      <c r="A44" s="11" t="inlineStr">
        <is>
          <t>TC-037</t>
        </is>
      </c>
      <c r="B44" s="11" t="inlineStr">
        <is>
          <t>Discover Categories</t>
        </is>
      </c>
      <c r="C44" s="11" t="inlineStr">
        <is>
          <t>Navigation mapping</t>
        </is>
      </c>
      <c r="D44" s="11" t="inlineStr">
        <is>
          <t>High</t>
        </is>
      </c>
      <c r="E44" s="11" t="inlineStr">
        <is>
          <t>Each category opens the correct listing page</t>
        </is>
      </c>
      <c r="F44" s="15" t="inlineStr">
        <is>
          <t>Click each category card one by one.</t>
        </is>
      </c>
      <c r="G44" s="15" t="inlineStr">
        <is>
          <t>Each card opens the correct category page with the correct heading/URL.</t>
        </is>
      </c>
      <c r="H44" s="11" t="inlineStr">
        <is>
          <t>Not Run</t>
        </is>
      </c>
      <c r="I44" s="11" t="n"/>
      <c r="J44" s="15" t="n"/>
      <c r="K44" s="14" t="n"/>
      <c r="L44" s="14" t="n"/>
      <c r="M44" s="16" t="n"/>
    </row>
    <row r="45" ht="30.75" customHeight="1" s="44">
      <c r="A45" s="14" t="inlineStr">
        <is>
          <t>TC-038</t>
        </is>
      </c>
      <c r="B45" s="14" t="inlineStr">
        <is>
          <t>Discover Categories</t>
        </is>
      </c>
      <c r="C45" s="14" t="inlineStr">
        <is>
          <t>Listing relevance</t>
        </is>
      </c>
      <c r="D45" s="14" t="inlineStr">
        <is>
          <t>High</t>
        </is>
      </c>
      <c r="E45" s="14" t="inlineStr">
        <is>
          <t>Listings match selected category</t>
        </is>
      </c>
      <c r="F45" s="16" t="inlineStr">
        <is>
          <t>Open each category and inspect returned items.</t>
        </is>
      </c>
      <c r="G45" s="16" t="inlineStr">
        <is>
          <t>Listings belong to the selected category and are not mixed with unrelated items.</t>
        </is>
      </c>
      <c r="H45" s="14" t="inlineStr">
        <is>
          <t>Not Run</t>
        </is>
      </c>
      <c r="I45" s="14" t="n"/>
      <c r="J45" s="16" t="n"/>
      <c r="K45" s="14" t="n"/>
      <c r="L45" s="14" t="n"/>
      <c r="M45" s="16" t="n"/>
    </row>
    <row r="46" ht="47.25" customHeight="1" s="44">
      <c r="A46" s="11" t="inlineStr">
        <is>
          <t>TC-039</t>
        </is>
      </c>
      <c r="B46" s="11" t="inlineStr">
        <is>
          <t>Discover Categories</t>
        </is>
      </c>
      <c r="C46" s="11" t="inlineStr">
        <is>
          <t>Long label layout</t>
        </is>
      </c>
      <c r="D46" s="11" t="inlineStr">
        <is>
          <t>Medium</t>
        </is>
      </c>
      <c r="E46" s="11" t="inlineStr">
        <is>
          <t>Long category names render correctly</t>
        </is>
      </c>
      <c r="F46" s="15" t="inlineStr">
        <is>
          <t>Check labels like 'Home, Furniture &amp; Appliances' and 'Cars, Bikes and Spare parts'.</t>
        </is>
      </c>
      <c r="G46" s="15" t="inlineStr">
        <is>
          <t>Long labels wrap/display cleanly without breaking layout.</t>
        </is>
      </c>
      <c r="H46" s="11" t="inlineStr">
        <is>
          <t>Not Run</t>
        </is>
      </c>
      <c r="I46" s="11" t="n"/>
      <c r="J46" s="15" t="n"/>
      <c r="K46" s="14" t="n"/>
      <c r="L46" s="14" t="n"/>
      <c r="M46" s="16" t="n"/>
    </row>
    <row r="47" ht="44.25" customHeight="1" s="44">
      <c r="A47" s="14" t="inlineStr">
        <is>
          <t>TC-040</t>
        </is>
      </c>
      <c r="B47" s="14" t="inlineStr">
        <is>
          <t>Discover Categories</t>
        </is>
      </c>
      <c r="C47" s="14" t="inlineStr">
        <is>
          <t>Browser navigation</t>
        </is>
      </c>
      <c r="D47" s="14" t="inlineStr">
        <is>
          <t>Medium</t>
        </is>
      </c>
      <c r="E47" s="14" t="inlineStr">
        <is>
          <t>Back/refresh keeps category context</t>
        </is>
      </c>
      <c r="F47" s="16" t="inlineStr">
        <is>
          <t>Open a category, refresh, then use browser back.</t>
        </is>
      </c>
      <c r="G47" s="16" t="inlineStr">
        <is>
          <t>Refresh keeps user on the category page and browser back returns to Discover page correctly.</t>
        </is>
      </c>
      <c r="H47" s="14" t="inlineStr">
        <is>
          <t>Not Run</t>
        </is>
      </c>
      <c r="I47" s="14" t="n"/>
      <c r="J47" s="16" t="n"/>
      <c r="K47" s="14" t="n"/>
      <c r="L47" s="14" t="n"/>
      <c r="M47" s="16" t="n"/>
    </row>
    <row r="48" ht="15.75" customHeight="1" s="44">
      <c r="H48" s="20" t="n"/>
    </row>
    <row r="49" ht="15.75" customHeight="1" s="44">
      <c r="H49" s="20" t="n"/>
    </row>
    <row r="50" ht="15.75" customHeight="1" s="44">
      <c r="H50" s="20" t="n"/>
    </row>
    <row r="51" ht="15.75" customHeight="1" s="44">
      <c r="H51" s="20" t="n"/>
    </row>
    <row r="52" ht="15.75" customHeight="1" s="44">
      <c r="H52" s="20" t="n"/>
    </row>
    <row r="53" ht="15.75" customHeight="1" s="44">
      <c r="H53" s="20" t="n"/>
    </row>
    <row r="54" ht="15.75" customHeight="1" s="44">
      <c r="H54" s="20" t="n"/>
    </row>
    <row r="55" ht="15.75" customHeight="1" s="44">
      <c r="H55" s="20" t="n"/>
    </row>
    <row r="56" ht="15.75" customHeight="1" s="44">
      <c r="H56" s="20" t="n"/>
    </row>
    <row r="57" ht="15.75" customHeight="1" s="44">
      <c r="H57" s="20" t="n"/>
    </row>
    <row r="58" ht="15.75" customHeight="1" s="44">
      <c r="H58" s="20" t="n"/>
    </row>
    <row r="59" ht="15.75" customHeight="1" s="44">
      <c r="H59" s="20" t="n"/>
    </row>
    <row r="60" ht="15.75" customHeight="1" s="44">
      <c r="H60" s="20" t="n"/>
    </row>
    <row r="61" ht="15.75" customHeight="1" s="44">
      <c r="H61" s="20" t="n"/>
    </row>
    <row r="62" ht="15.75" customHeight="1" s="44">
      <c r="H62" s="20" t="n"/>
    </row>
    <row r="63" ht="15.75" customHeight="1" s="44">
      <c r="H63" s="20" t="n"/>
    </row>
    <row r="64" ht="15.75" customHeight="1" s="44">
      <c r="H64" s="20" t="n"/>
    </row>
    <row r="65" ht="15.75" customHeight="1" s="44">
      <c r="H65" s="20" t="n"/>
    </row>
    <row r="66" ht="15.75" customHeight="1" s="44">
      <c r="H66" s="20" t="n"/>
    </row>
    <row r="67" ht="15.75" customHeight="1" s="44">
      <c r="H67" s="20" t="n"/>
    </row>
    <row r="68" ht="15.75" customHeight="1" s="44">
      <c r="H68" s="20" t="n"/>
    </row>
    <row r="69" ht="15.75" customHeight="1" s="44">
      <c r="H69" s="20" t="n"/>
    </row>
    <row r="70" ht="15.75" customHeight="1" s="44">
      <c r="H70" s="20" t="n"/>
    </row>
    <row r="71" ht="15.75" customHeight="1" s="44">
      <c r="H71" s="20" t="n"/>
    </row>
    <row r="72" ht="15.75" customHeight="1" s="44">
      <c r="H72" s="20" t="n"/>
    </row>
    <row r="73" ht="15.75" customHeight="1" s="44">
      <c r="H73" s="20" t="n"/>
    </row>
    <row r="74" ht="15.75" customHeight="1" s="44">
      <c r="H74" s="20" t="n"/>
    </row>
    <row r="75" ht="15.75" customHeight="1" s="44">
      <c r="H75" s="20" t="n"/>
    </row>
    <row r="76" ht="15.75" customHeight="1" s="44">
      <c r="H76" s="20" t="n"/>
    </row>
    <row r="77" ht="15.75" customHeight="1" s="44">
      <c r="H77" s="20" t="n"/>
    </row>
    <row r="78" ht="15.75" customHeight="1" s="44">
      <c r="H78" s="20" t="n"/>
    </row>
    <row r="79" ht="15.75" customHeight="1" s="44">
      <c r="H79" s="20" t="n"/>
    </row>
    <row r="80" ht="15.75" customHeight="1" s="44">
      <c r="H80" s="20" t="n"/>
    </row>
    <row r="81" ht="15.75" customHeight="1" s="44">
      <c r="H81" s="20" t="n"/>
    </row>
    <row r="82" ht="15.75" customHeight="1" s="44">
      <c r="H82" s="20" t="n"/>
    </row>
    <row r="83" ht="15.75" customHeight="1" s="44">
      <c r="H83" s="20" t="n"/>
    </row>
    <row r="84" ht="15.75" customHeight="1" s="44">
      <c r="H84" s="20" t="n"/>
    </row>
    <row r="85" ht="15.75" customHeight="1" s="44">
      <c r="H85" s="20" t="n"/>
    </row>
    <row r="86" ht="15.75" customHeight="1" s="44">
      <c r="H86" s="20" t="n"/>
    </row>
    <row r="87" ht="15.75" customHeight="1" s="44">
      <c r="H87" s="20" t="n"/>
    </row>
    <row r="88" ht="15.75" customHeight="1" s="44">
      <c r="H88" s="20" t="n"/>
    </row>
    <row r="89" ht="15.75" customHeight="1" s="44">
      <c r="H89" s="20" t="n"/>
    </row>
    <row r="90" ht="15.75" customHeight="1" s="44">
      <c r="H90" s="20" t="n"/>
    </row>
    <row r="91" ht="15.75" customHeight="1" s="44">
      <c r="H91" s="20" t="n"/>
    </row>
    <row r="92" ht="15.75" customHeight="1" s="44">
      <c r="H92" s="20" t="n"/>
    </row>
    <row r="93" ht="15.75" customHeight="1" s="44">
      <c r="H93" s="20" t="n"/>
    </row>
    <row r="94" ht="15.75" customHeight="1" s="44">
      <c r="H94" s="20" t="n"/>
    </row>
    <row r="95" ht="15.75" customHeight="1" s="44">
      <c r="H95" s="20" t="n"/>
    </row>
    <row r="96" ht="15.75" customHeight="1" s="44">
      <c r="H96" s="20" t="n"/>
    </row>
    <row r="97" ht="15.75" customHeight="1" s="44">
      <c r="H97" s="20" t="n"/>
    </row>
    <row r="98" ht="15.75" customHeight="1" s="44">
      <c r="H98" s="20" t="n"/>
    </row>
    <row r="99" ht="15.75" customHeight="1" s="44">
      <c r="H99" s="20" t="n"/>
    </row>
    <row r="100" ht="15.75" customHeight="1" s="44">
      <c r="H100" s="20" t="n"/>
    </row>
    <row r="101" ht="15.75" customHeight="1" s="44">
      <c r="H101" s="20" t="n"/>
    </row>
    <row r="102" ht="15.75" customHeight="1" s="44">
      <c r="H102" s="20" t="n"/>
    </row>
    <row r="103" ht="15.75" customHeight="1" s="44">
      <c r="H103" s="20" t="n"/>
    </row>
    <row r="104" ht="15.75" customHeight="1" s="44">
      <c r="H104" s="20" t="n"/>
    </row>
    <row r="105" ht="15.75" customHeight="1" s="44">
      <c r="H105" s="20" t="n"/>
    </row>
    <row r="106" ht="15.75" customHeight="1" s="44">
      <c r="H106" s="20" t="n"/>
    </row>
    <row r="107" ht="15.75" customHeight="1" s="44">
      <c r="H107" s="20" t="n"/>
    </row>
    <row r="108" ht="15.75" customHeight="1" s="44">
      <c r="H108" s="20" t="n"/>
    </row>
    <row r="109" ht="15.75" customHeight="1" s="44">
      <c r="H109" s="20" t="n"/>
    </row>
    <row r="110" ht="15.75" customHeight="1" s="44">
      <c r="H110" s="20" t="n"/>
    </row>
    <row r="111" ht="15.75" customHeight="1" s="44">
      <c r="H111" s="20" t="n"/>
    </row>
    <row r="112" ht="15.75" customHeight="1" s="44">
      <c r="H112" s="20" t="n"/>
    </row>
    <row r="113" ht="15.75" customHeight="1" s="44">
      <c r="H113" s="20" t="n"/>
    </row>
    <row r="114" ht="15.75" customHeight="1" s="44">
      <c r="H114" s="20" t="n"/>
    </row>
    <row r="115" ht="15.75" customHeight="1" s="44">
      <c r="H115" s="20" t="n"/>
    </row>
    <row r="116" ht="15.75" customHeight="1" s="44">
      <c r="H116" s="20" t="n"/>
    </row>
    <row r="117" ht="15.75" customHeight="1" s="44">
      <c r="H117" s="20" t="n"/>
    </row>
    <row r="118" ht="15.75" customHeight="1" s="44">
      <c r="H118" s="20" t="n"/>
    </row>
    <row r="119" ht="15.75" customHeight="1" s="44">
      <c r="H119" s="20" t="n"/>
    </row>
    <row r="120" ht="15.75" customHeight="1" s="44">
      <c r="H120" s="20" t="n"/>
    </row>
    <row r="121" ht="15.75" customHeight="1" s="44">
      <c r="H121" s="20" t="n"/>
    </row>
    <row r="122" ht="15.75" customHeight="1" s="44">
      <c r="H122" s="20" t="n"/>
    </row>
    <row r="123" ht="15.75" customHeight="1" s="44">
      <c r="H123" s="20" t="n"/>
    </row>
    <row r="124" ht="15.75" customHeight="1" s="44">
      <c r="H124" s="20" t="n"/>
    </row>
    <row r="125" ht="15.75" customHeight="1" s="44">
      <c r="H125" s="20" t="n"/>
    </row>
    <row r="126" ht="15.75" customHeight="1" s="44">
      <c r="H126" s="20" t="n"/>
    </row>
    <row r="127" ht="15.75" customHeight="1" s="44">
      <c r="H127" s="20" t="n"/>
    </row>
    <row r="128" ht="15.75" customHeight="1" s="44">
      <c r="H128" s="20" t="n"/>
    </row>
    <row r="129" ht="15.75" customHeight="1" s="44">
      <c r="H129" s="20" t="n"/>
    </row>
    <row r="130" ht="15.75" customHeight="1" s="44">
      <c r="H130" s="20" t="n"/>
    </row>
    <row r="131" ht="15.75" customHeight="1" s="44">
      <c r="H131" s="20" t="n"/>
    </row>
    <row r="132" ht="15.75" customHeight="1" s="44">
      <c r="H132" s="20" t="n"/>
    </row>
    <row r="133" ht="15.75" customHeight="1" s="44">
      <c r="H133" s="20" t="n"/>
    </row>
    <row r="134" ht="15.75" customHeight="1" s="44">
      <c r="H134" s="20" t="n"/>
    </row>
    <row r="135" ht="15.75" customHeight="1" s="44">
      <c r="H135" s="20" t="n"/>
    </row>
    <row r="136" ht="15.75" customHeight="1" s="44">
      <c r="H136" s="20" t="n"/>
    </row>
    <row r="137" ht="15.75" customHeight="1" s="44">
      <c r="H137" s="20" t="n"/>
    </row>
    <row r="138" ht="15.75" customHeight="1" s="44">
      <c r="H138" s="20" t="n"/>
    </row>
    <row r="139" ht="15.75" customHeight="1" s="44">
      <c r="H139" s="20" t="n"/>
    </row>
    <row r="140" ht="15.75" customHeight="1" s="44">
      <c r="H140" s="20" t="n"/>
    </row>
    <row r="141" ht="15.75" customHeight="1" s="44">
      <c r="H141" s="20" t="n"/>
    </row>
    <row r="142" ht="15.75" customHeight="1" s="44">
      <c r="H142" s="20" t="n"/>
    </row>
    <row r="143" ht="15.75" customHeight="1" s="44">
      <c r="H143" s="20" t="n"/>
    </row>
    <row r="144" ht="15.75" customHeight="1" s="44">
      <c r="H144" s="20" t="n"/>
    </row>
    <row r="145" ht="15.75" customHeight="1" s="44">
      <c r="H145" s="20" t="n"/>
    </row>
    <row r="146" ht="15.75" customHeight="1" s="44">
      <c r="H146" s="20" t="n"/>
    </row>
    <row r="147" ht="15.75" customHeight="1" s="44">
      <c r="H147" s="20" t="n"/>
    </row>
    <row r="148" ht="15.75" customHeight="1" s="44">
      <c r="H148" s="20" t="n"/>
    </row>
    <row r="149" ht="15.75" customHeight="1" s="44">
      <c r="H149" s="20" t="n"/>
    </row>
    <row r="150" ht="15.75" customHeight="1" s="44">
      <c r="H150" s="20" t="n"/>
    </row>
    <row r="151" ht="15.75" customHeight="1" s="44">
      <c r="H151" s="20" t="n"/>
    </row>
    <row r="152" ht="15.75" customHeight="1" s="44">
      <c r="H152" s="20" t="n"/>
    </row>
    <row r="153" ht="15.75" customHeight="1" s="44">
      <c r="H153" s="20" t="n"/>
    </row>
    <row r="154" ht="15.75" customHeight="1" s="44">
      <c r="H154" s="20" t="n"/>
    </row>
    <row r="155" ht="15.75" customHeight="1" s="44">
      <c r="H155" s="20" t="n"/>
    </row>
    <row r="156" ht="15.75" customHeight="1" s="44">
      <c r="H156" s="20" t="n"/>
    </row>
    <row r="157" ht="15.75" customHeight="1" s="44">
      <c r="H157" s="20" t="n"/>
    </row>
    <row r="158" ht="15.75" customHeight="1" s="44">
      <c r="H158" s="20" t="n"/>
    </row>
    <row r="159" ht="15.75" customHeight="1" s="44">
      <c r="H159" s="20" t="n"/>
    </row>
    <row r="160" ht="15.75" customHeight="1" s="44">
      <c r="H160" s="20" t="n"/>
    </row>
    <row r="161" ht="15.75" customHeight="1" s="44">
      <c r="H161" s="20" t="n"/>
    </row>
    <row r="162" ht="15.75" customHeight="1" s="44">
      <c r="H162" s="20" t="n"/>
    </row>
    <row r="163" ht="15.75" customHeight="1" s="44">
      <c r="H163" s="20" t="n"/>
    </row>
    <row r="164" ht="15.75" customHeight="1" s="44">
      <c r="H164" s="20" t="n"/>
    </row>
    <row r="165" ht="15.75" customHeight="1" s="44">
      <c r="H165" s="20" t="n"/>
    </row>
    <row r="166" ht="15.75" customHeight="1" s="44">
      <c r="H166" s="20" t="n"/>
    </row>
    <row r="167" ht="15.75" customHeight="1" s="44">
      <c r="H167" s="20" t="n"/>
    </row>
    <row r="168" ht="15.75" customHeight="1" s="44">
      <c r="H168" s="20" t="n"/>
    </row>
    <row r="169" ht="15.75" customHeight="1" s="44">
      <c r="H169" s="20" t="n"/>
    </row>
    <row r="170" ht="15.75" customHeight="1" s="44">
      <c r="H170" s="20" t="n"/>
    </row>
    <row r="171" ht="15.75" customHeight="1" s="44">
      <c r="H171" s="20" t="n"/>
    </row>
    <row r="172" ht="15.75" customHeight="1" s="44">
      <c r="H172" s="20" t="n"/>
    </row>
    <row r="173" ht="15.75" customHeight="1" s="44">
      <c r="H173" s="20" t="n"/>
    </row>
    <row r="174" ht="15.75" customHeight="1" s="44">
      <c r="H174" s="20" t="n"/>
    </row>
    <row r="175" ht="15.75" customHeight="1" s="44">
      <c r="H175" s="20" t="n"/>
    </row>
    <row r="176" ht="15.75" customHeight="1" s="44">
      <c r="H176" s="20" t="n"/>
    </row>
    <row r="177" ht="15.75" customHeight="1" s="44">
      <c r="H177" s="20" t="n"/>
    </row>
    <row r="178" ht="15.75" customHeight="1" s="44">
      <c r="H178" s="20" t="n"/>
    </row>
    <row r="179" ht="15.75" customHeight="1" s="44">
      <c r="H179" s="20" t="n"/>
    </row>
    <row r="180" ht="15.75" customHeight="1" s="44">
      <c r="H180" s="20" t="n"/>
    </row>
    <row r="181" ht="15.75" customHeight="1" s="44">
      <c r="H181" s="20" t="n"/>
    </row>
    <row r="182" ht="15.75" customHeight="1" s="44">
      <c r="H182" s="20" t="n"/>
    </row>
    <row r="183" ht="15.75" customHeight="1" s="44">
      <c r="H183" s="20" t="n"/>
    </row>
    <row r="184" ht="15.75" customHeight="1" s="44">
      <c r="H184" s="20" t="n"/>
    </row>
    <row r="185" ht="15.75" customHeight="1" s="44">
      <c r="H185" s="20" t="n"/>
    </row>
    <row r="186" ht="15.75" customHeight="1" s="44">
      <c r="H186" s="20" t="n"/>
    </row>
    <row r="187" ht="15.75" customHeight="1" s="44">
      <c r="H187" s="20" t="n"/>
    </row>
    <row r="188" ht="15.75" customHeight="1" s="44">
      <c r="H188" s="20" t="n"/>
    </row>
    <row r="189" ht="15.75" customHeight="1" s="44">
      <c r="H189" s="20" t="n"/>
    </row>
    <row r="190" ht="15.75" customHeight="1" s="44">
      <c r="H190" s="20" t="n"/>
    </row>
    <row r="191" ht="15.75" customHeight="1" s="44">
      <c r="H191" s="20" t="n"/>
    </row>
    <row r="192" ht="15.75" customHeight="1" s="44">
      <c r="H192" s="20" t="n"/>
    </row>
    <row r="193" ht="15.75" customHeight="1" s="44">
      <c r="H193" s="20" t="n"/>
    </row>
    <row r="194" ht="15.75" customHeight="1" s="44">
      <c r="H194" s="20" t="n"/>
    </row>
    <row r="195" ht="15.75" customHeight="1" s="44">
      <c r="H195" s="20" t="n"/>
    </row>
    <row r="196" ht="15.75" customHeight="1" s="44">
      <c r="H196" s="20" t="n"/>
    </row>
    <row r="197" ht="15.75" customHeight="1" s="44">
      <c r="H197" s="20" t="n"/>
    </row>
    <row r="198" ht="15.75" customHeight="1" s="44">
      <c r="H198" s="20" t="n"/>
    </row>
    <row r="199" ht="15.75" customHeight="1" s="44">
      <c r="H199" s="20" t="n"/>
    </row>
    <row r="200" ht="15.75" customHeight="1" s="44">
      <c r="H200" s="20" t="n"/>
    </row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autoFilter ref="$A$7:$M$47"/>
  <mergeCells count="3">
    <mergeCell ref="A1:J1"/>
    <mergeCell ref="A4:J4"/>
    <mergeCell ref="A2:J2"/>
  </mergeCells>
  <conditionalFormatting sqref="H8:H47">
    <cfRule type="expression" priority="1" dxfId="0">
      <formula>$H8="Not Run"</formula>
    </cfRule>
    <cfRule type="expression" priority="2" dxfId="1">
      <formula>$H8="Pass"</formula>
    </cfRule>
    <cfRule type="expression" priority="3" dxfId="2">
      <formula>$H8="Fail"</formula>
    </cfRule>
    <cfRule type="expression" priority="4" dxfId="3">
      <formula>$H8="Blocked"</formula>
    </cfRule>
    <cfRule type="expression" priority="5" dxfId="4">
      <formula>$H8="In Progress"</formula>
    </cfRule>
  </conditionalFormatting>
  <conditionalFormatting sqref="I8:I47">
    <cfRule type="expression" priority="6" dxfId="5">
      <formula>$H8="Fail"</formula>
    </cfRule>
  </conditionalFormatting>
  <conditionalFormatting sqref="H8:H1000">
    <cfRule type="cellIs" priority="7" operator="equal" dxfId="6">
      <formula>"Pass"</formula>
    </cfRule>
    <cfRule type="cellIs" priority="8" operator="equal" dxfId="3">
      <formula>"Fail"</formula>
    </cfRule>
    <cfRule type="cellIs" priority="9" operator="equal" dxfId="4">
      <formula>"Blocked"</formula>
    </cfRule>
    <cfRule type="cellIs" priority="10" operator="equal" dxfId="3">
      <formula>"Open"</formula>
    </cfRule>
    <cfRule type="cellIs" priority="11" operator="equal" dxfId="7">
      <formula>"In Progress"</formula>
    </cfRule>
    <cfRule type="cellIs" priority="12" operator="equal" dxfId="4">
      <formula>"Retest"</formula>
    </cfRule>
    <cfRule type="cellIs" priority="13" operator="equal" dxfId="6">
      <formula>"Closed"</formula>
    </cfRule>
    <cfRule type="cellIs" priority="14" operator="equal" dxfId="8">
      <formula>"Not Run"</formula>
    </cfRule>
  </conditionalFormatting>
  <dataValidations count="3">
    <dataValidation sqref="B8:B47" showDropDown="0" showInputMessage="0" showErrorMessage="1" allowBlank="1" type="list">
      <formula1>"Signup,Email Verification,Password Reset,Login,User Profile,Account Setup,Discover Categories"</formula1>
    </dataValidation>
    <dataValidation sqref="H8:H200" showDropDown="0" showInputMessage="0" showErrorMessage="0" allowBlank="1" type="list">
      <formula1>"Not Run,Open,In Progress,Pass,Fail,Blocked,Retest,Closed"</formula1>
    </dataValidation>
    <dataValidation sqref="D8:D47" showDropDown="0" showInputMessage="0" showErrorMessage="1" allowBlank="1" type="list">
      <formula1>"High,Medium,Low"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10.5" customWidth="1" style="44" min="1" max="1"/>
    <col width="17.5" customWidth="1" style="44" min="2" max="2"/>
    <col width="14" customWidth="1" style="44" min="3" max="3"/>
    <col width="44.25" customWidth="1" style="44" min="4" max="4"/>
    <col width="10.5" customWidth="1" style="44" min="5" max="6"/>
    <col width="12.25" customWidth="1" style="44" min="7" max="7"/>
    <col width="30.5" customWidth="1" style="44" min="8" max="8"/>
    <col width="29.75" customWidth="1" style="44" min="9" max="11"/>
    <col width="34.38" customWidth="1" style="44" min="12" max="12"/>
    <col width="17" customWidth="1" style="44" min="13" max="13"/>
    <col width="7.63" customWidth="1" style="44" min="14" max="26"/>
  </cols>
  <sheetData>
    <row r="1" ht="24" customHeight="1" s="44">
      <c r="A1" s="48" t="inlineStr">
        <is>
          <t>Bug Log (Sanitized)</t>
        </is>
      </c>
    </row>
    <row r="2" ht="12.75" customHeight="1" s="44">
      <c r="A2" s="49" t="inlineStr">
        <is>
          <t>Track defects here. Add sanitized screenshots or portfolio-safe evidence links in the Screenshot / Evidence column.</t>
        </is>
      </c>
    </row>
    <row r="3" ht="1.5" customHeight="1" s="44"/>
    <row r="4" ht="36" customHeight="1" s="44">
      <c r="A4" s="8" t="inlineStr">
        <is>
          <t>Bug ID</t>
        </is>
      </c>
      <c r="B4" s="8" t="inlineStr">
        <is>
          <t>Module</t>
        </is>
      </c>
      <c r="C4" s="8" t="inlineStr">
        <is>
          <t>Related TC ID</t>
        </is>
      </c>
      <c r="D4" s="8" t="inlineStr">
        <is>
          <t>Title</t>
        </is>
      </c>
      <c r="E4" s="8" t="inlineStr">
        <is>
          <t>Severity</t>
        </is>
      </c>
      <c r="F4" s="8" t="inlineStr">
        <is>
          <t>Priority</t>
        </is>
      </c>
      <c r="G4" s="8" t="inlineStr">
        <is>
          <t>Status</t>
        </is>
      </c>
      <c r="H4" s="8" t="inlineStr">
        <is>
          <t>Screenshot / Evidence</t>
        </is>
      </c>
      <c r="I4" s="8" t="inlineStr">
        <is>
          <t>Steps to Reproduce</t>
        </is>
      </c>
      <c r="J4" s="8" t="inlineStr">
        <is>
          <t>Expected Result</t>
        </is>
      </c>
      <c r="K4" s="8" t="inlineStr">
        <is>
          <t>Actual Result</t>
        </is>
      </c>
      <c r="L4" s="8" t="inlineStr">
        <is>
          <t>Notes / Owner</t>
        </is>
      </c>
      <c r="M4" s="20" t="inlineStr">
        <is>
          <t>DATE RAISED</t>
        </is>
      </c>
    </row>
    <row r="5" ht="97.5" customHeight="1" s="44">
      <c r="A5" s="22" t="inlineStr">
        <is>
          <t>BUG-001</t>
        </is>
      </c>
      <c r="B5" s="22" t="inlineStr">
        <is>
          <t xml:space="preserve">Signup </t>
        </is>
      </c>
      <c r="C5" s="22" t="n"/>
      <c r="D5" s="43" t="inlineStr">
        <is>
          <t>Signup form does not clearly indicate which fields are required</t>
        </is>
      </c>
      <c r="E5" s="22" t="inlineStr">
        <is>
          <t>High</t>
        </is>
      </c>
      <c r="F5" s="22" t="inlineStr">
        <is>
          <t>High</t>
        </is>
      </c>
      <c r="G5" s="22" t="inlineStr">
        <is>
          <t>Open</t>
        </is>
      </c>
      <c r="H5" s="24" t="n"/>
      <c r="I5" s="43" t="inlineStr">
        <is>
          <t>1. Open the signup page
2. Review all available input fields
3. Observe whether required fields are clearly marked
4. Attempt signup with only some fields completed</t>
        </is>
      </c>
      <c r="J5" s="43" t="inlineStr">
        <is>
          <t>All mandatory fields should be clearly indicated, for example with an asterisk, label, helper text, or validation guidance.</t>
        </is>
      </c>
      <c r="K5" s="43" t="inlineStr">
        <is>
          <t>The form does not clearly indicate which fields are required, creating uncertainty about the minimum information needed to continue signup.</t>
        </is>
      </c>
      <c r="L5" s="43" t="inlineStr">
        <is>
          <t>Confirm with product/design which fields are intended to be mandatory before OTP verification.</t>
        </is>
      </c>
      <c r="M5" s="25" t="n">
        <v>46108</v>
      </c>
    </row>
    <row r="6" ht="75" customHeight="1" s="44">
      <c r="A6" s="14" t="inlineStr">
        <is>
          <t>BUG-002</t>
        </is>
      </c>
      <c r="B6" s="14" t="inlineStr">
        <is>
          <t>Signup</t>
        </is>
      </c>
      <c r="C6" s="14" t="inlineStr">
        <is>
          <t>TC-002, TC-003</t>
        </is>
      </c>
      <c r="D6" s="16" t="inlineStr">
        <is>
          <t>Signup allows submission with incomplete required fields</t>
        </is>
      </c>
      <c r="E6" s="14" t="inlineStr">
        <is>
          <t>High</t>
        </is>
      </c>
      <c r="F6" s="14" t="inlineStr">
        <is>
          <t>High</t>
        </is>
      </c>
      <c r="G6" s="14" t="inlineStr">
        <is>
          <t>Open</t>
        </is>
      </c>
      <c r="H6" s="26" t="inlineStr">
        <is>
          <t>Add sanitized evidence link here</t>
        </is>
      </c>
      <c r="I6" s="16" t="inlineStr">
        <is>
          <t>1. Open the signup page
2. Fill only email address
3. Leave other mandatory fields blank
4. Click Sign up</t>
        </is>
      </c>
      <c r="J6" s="16" t="inlineStr">
        <is>
          <t>The system should block submission and show required-field validation messages for all missing mandatory fields.</t>
        </is>
      </c>
      <c r="K6" s="16" t="inlineStr">
        <is>
          <t>The system allows signup to proceed even though required fields are incomplete.</t>
        </is>
      </c>
      <c r="L6" s="16" t="inlineStr">
        <is>
          <t>Observed with partial signup input.</t>
        </is>
      </c>
      <c r="M6" s="25" t="n">
        <v>46108</v>
      </c>
    </row>
    <row r="7" ht="73.5" customHeight="1" s="44">
      <c r="A7" s="14" t="inlineStr">
        <is>
          <t>BUG-003</t>
        </is>
      </c>
      <c r="B7" s="14" t="inlineStr">
        <is>
          <t>Signup / Email Verification</t>
        </is>
      </c>
      <c r="C7" s="14" t="inlineStr">
        <is>
          <t>TC-003</t>
        </is>
      </c>
      <c r="D7" s="16" t="inlineStr">
        <is>
          <t>OTP is sent before signup validation is complete</t>
        </is>
      </c>
      <c r="E7" s="14" t="inlineStr">
        <is>
          <t>High</t>
        </is>
      </c>
      <c r="F7" s="14" t="inlineStr">
        <is>
          <t>High</t>
        </is>
      </c>
      <c r="G7" s="14" t="inlineStr">
        <is>
          <t>Open</t>
        </is>
      </c>
      <c r="H7" s="26" t="inlineStr">
        <is>
          <t>Add sanitized evidence link here</t>
        </is>
      </c>
      <c r="I7" s="16" t="inlineStr">
        <is>
          <t>1. Open the signup page
2. Enter email address only
3. Leave some required fields blank
4. Click Sign up</t>
        </is>
      </c>
      <c r="J7" s="16" t="inlineStr">
        <is>
          <t>OTP should not be sent until all required signup fields are valid.</t>
        </is>
      </c>
      <c r="K7" s="16" t="inlineStr">
        <is>
          <t>The system sends an OTP even though the signup form is incomplete.</t>
        </is>
      </c>
      <c r="L7" s="16" t="inlineStr">
        <is>
          <t>Verification flow starts too early.</t>
        </is>
      </c>
      <c r="M7" s="25" t="n">
        <v>46108</v>
      </c>
    </row>
    <row r="8" ht="68.25" customHeight="1" s="44">
      <c r="A8" s="14" t="inlineStr">
        <is>
          <t>BUG-004</t>
        </is>
      </c>
      <c r="B8" s="14" t="inlineStr">
        <is>
          <t>Signup Validation</t>
        </is>
      </c>
      <c r="C8" s="14" t="inlineStr">
        <is>
          <t>TC-002</t>
        </is>
      </c>
      <c r="D8" s="16" t="inlineStr">
        <is>
          <t>Misleading validation messages are shown for missing required fields</t>
        </is>
      </c>
      <c r="E8" s="14" t="inlineStr">
        <is>
          <t>Medium</t>
        </is>
      </c>
      <c r="F8" s="14" t="inlineStr">
        <is>
          <t>Medium</t>
        </is>
      </c>
      <c r="G8" s="14" t="inlineStr">
        <is>
          <t>Open</t>
        </is>
      </c>
      <c r="H8" s="26" t="n"/>
      <c r="I8" s="16" t="inlineStr">
        <is>
          <t>1. Open the signup page
2. Leave required fields empty or partially filled
3. Click Sign up</t>
        </is>
      </c>
      <c r="J8" s="16" t="inlineStr">
        <is>
          <t>The system should show clear required-field messages such as 'Email is required' or 'Phone number is required'.</t>
        </is>
      </c>
      <c r="K8" s="16" t="inlineStr">
        <is>
          <t>The system shows misleading messages such as 'email must be longer than or equal to 8 characters'.</t>
        </is>
      </c>
      <c r="L8" s="16" t="inlineStr">
        <is>
          <t>Confusing UX and likely raw validation copy leaking to the UI.</t>
        </is>
      </c>
      <c r="M8" s="25" t="n">
        <v>46108</v>
      </c>
    </row>
    <row r="9">
      <c r="A9" s="14" t="inlineStr">
        <is>
          <t>BUG-005</t>
        </is>
      </c>
      <c r="B9" s="14" t="inlineStr">
        <is>
          <t>Signup Validation</t>
        </is>
      </c>
      <c r="C9" s="14" t="inlineStr">
        <is>
          <t>TC-002, TC-003</t>
        </is>
      </c>
      <c r="D9" s="16" t="inlineStr">
        <is>
          <t>Duplicate phone-number error is shown when phone field is blank</t>
        </is>
      </c>
      <c r="E9" s="14" t="inlineStr">
        <is>
          <t>High</t>
        </is>
      </c>
      <c r="F9" s="14" t="inlineStr">
        <is>
          <t>High</t>
        </is>
      </c>
      <c r="G9" s="14" t="inlineStr">
        <is>
          <t>Open</t>
        </is>
      </c>
      <c r="H9" s="26" t="n"/>
      <c r="I9" s="16" t="inlineStr">
        <is>
          <t>1. Open the signup page
2. Enter email and password
3. Leave phone number and other required fields blank
4. Click Sign up</t>
        </is>
      </c>
      <c r="J9" s="16" t="inlineStr">
        <is>
          <t>The system should show required-field validation for missing phone number and other blank required fields.</t>
        </is>
      </c>
      <c r="K9" s="16" t="inlineStr">
        <is>
          <t>The system shows 'An account with this phone number already exist.'</t>
        </is>
      </c>
      <c r="L9" s="16" t="inlineStr">
        <is>
          <t>May indicate uniqueness is checked before required validation. Also grammar issue in error text.</t>
        </is>
      </c>
      <c r="M9" s="25" t="n">
        <v>46108</v>
      </c>
    </row>
    <row r="10" ht="81" customHeight="1" s="44">
      <c r="A10" s="20" t="inlineStr">
        <is>
          <t>BUG-006</t>
        </is>
      </c>
      <c r="B10" s="20" t="inlineStr">
        <is>
          <t xml:space="preserve">Validation </t>
        </is>
      </c>
      <c r="D10" s="20" t="inlineStr">
        <is>
          <t>Weak and moderate passwords are accepted without 
clear validation message</t>
        </is>
      </c>
      <c r="E10" s="20" t="inlineStr">
        <is>
          <t>High</t>
        </is>
      </c>
      <c r="F10" s="20" t="inlineStr">
        <is>
          <t>High</t>
        </is>
      </c>
      <c r="G10" s="20" t="inlineStr">
        <is>
          <t>Open</t>
        </is>
      </c>
      <c r="I10" s="20" t="inlineStr">
        <is>
          <t>1. Navigate to the password creation 
or change password form
2. Enter a weak or moderate password
3. Observe the password strength 
indicator
4. Submit the form</t>
        </is>
      </c>
      <c r="J10" s="20" t="inlineStr">
        <is>
          <t>The form should clearly validate the 
password requirements and either:
block submission for passwords below 
the accepted level, orclearly state that
 weak/moderate passwords are 
allowed if that is the intended behavior</t>
        </is>
      </c>
      <c r="K10" s="20" t="inlineStr">
        <is>
          <t>Form submits successfully with no 
clear validation feedback</t>
        </is>
      </c>
      <c r="L10" s="20" t="inlineStr">
        <is>
          <t>Enforce clear password validation and display
 a visible error message when the password
 does not meet the required standard.</t>
        </is>
      </c>
      <c r="M10" s="25" t="n">
        <v>46112</v>
      </c>
    </row>
    <row r="11" ht="21" customHeight="1" s="44">
      <c r="E11" s="20" t="n"/>
      <c r="F11" s="20" t="n"/>
      <c r="G11" s="20" t="n"/>
    </row>
    <row r="12" ht="21" customHeight="1" s="44">
      <c r="E12" s="20" t="n"/>
      <c r="F12" s="20" t="n"/>
      <c r="G12" s="20" t="n"/>
    </row>
    <row r="13" ht="21" customHeight="1" s="44">
      <c r="E13" s="20" t="n"/>
      <c r="F13" s="20" t="n"/>
      <c r="G13" s="20" t="n"/>
    </row>
    <row r="14" ht="21" customHeight="1" s="44">
      <c r="E14" s="20" t="n"/>
      <c r="F14" s="20" t="n"/>
      <c r="G14" s="20" t="n"/>
    </row>
    <row r="15" ht="21" customHeight="1" s="44">
      <c r="E15" s="20" t="n"/>
      <c r="F15" s="20" t="n"/>
      <c r="G15" s="20" t="n"/>
    </row>
    <row r="16" ht="21" customHeight="1" s="44">
      <c r="E16" s="20" t="n"/>
      <c r="F16" s="20" t="n"/>
      <c r="G16" s="20" t="n"/>
    </row>
    <row r="17" ht="21" customHeight="1" s="44">
      <c r="E17" s="20" t="n"/>
      <c r="F17" s="20" t="n"/>
      <c r="G17" s="20" t="n"/>
    </row>
    <row r="18" ht="21" customHeight="1" s="44">
      <c r="E18" s="20" t="n"/>
      <c r="F18" s="20" t="n"/>
      <c r="G18" s="20" t="n"/>
    </row>
    <row r="19" ht="21" customHeight="1" s="44">
      <c r="E19" s="20" t="n"/>
      <c r="F19" s="20" t="n"/>
      <c r="G19" s="20" t="n"/>
    </row>
    <row r="20" ht="21" customHeight="1" s="44">
      <c r="E20" s="20" t="n"/>
      <c r="F20" s="20" t="n"/>
      <c r="G20" s="20" t="n"/>
    </row>
    <row r="21" ht="21" customHeight="1" s="44">
      <c r="E21" s="20" t="n"/>
      <c r="F21" s="20" t="n"/>
      <c r="G21" s="20" t="n"/>
    </row>
    <row r="22" ht="21" customHeight="1" s="44">
      <c r="E22" s="20" t="n"/>
      <c r="F22" s="20" t="n"/>
      <c r="G22" s="20" t="n"/>
    </row>
    <row r="23" ht="21" customHeight="1" s="44">
      <c r="E23" s="20" t="n"/>
      <c r="F23" s="20" t="n"/>
      <c r="G23" s="20" t="n"/>
    </row>
    <row r="24" ht="21" customHeight="1" s="44">
      <c r="E24" s="20" t="n"/>
      <c r="F24" s="20" t="n"/>
      <c r="G24" s="20" t="n"/>
    </row>
    <row r="25" ht="21" customHeight="1" s="44">
      <c r="E25" s="20" t="n"/>
      <c r="F25" s="20" t="n"/>
      <c r="G25" s="20" t="n"/>
    </row>
    <row r="26" ht="21" customHeight="1" s="44">
      <c r="E26" s="20" t="n"/>
      <c r="F26" s="20" t="n"/>
      <c r="G26" s="20" t="n"/>
    </row>
    <row r="27" ht="21" customHeight="1" s="44">
      <c r="E27" s="20" t="n"/>
      <c r="F27" s="20" t="n"/>
      <c r="G27" s="20" t="n"/>
    </row>
    <row r="28" ht="21" customHeight="1" s="44">
      <c r="E28" s="20" t="n"/>
      <c r="F28" s="20" t="n"/>
      <c r="G28" s="20" t="n"/>
    </row>
    <row r="29" ht="21" customHeight="1" s="44">
      <c r="E29" s="20" t="n"/>
      <c r="F29" s="20" t="n"/>
      <c r="G29" s="20" t="n"/>
    </row>
    <row r="30" ht="21" customHeight="1" s="44">
      <c r="E30" s="20" t="n"/>
      <c r="F30" s="20" t="n"/>
      <c r="G30" s="20" t="n"/>
    </row>
    <row r="31" ht="21" customHeight="1" s="44">
      <c r="E31" s="20" t="n"/>
      <c r="F31" s="20" t="n"/>
      <c r="G31" s="20" t="n"/>
    </row>
    <row r="32" ht="21" customHeight="1" s="44">
      <c r="E32" s="20" t="n"/>
      <c r="F32" s="20" t="n"/>
      <c r="G32" s="20" t="n"/>
    </row>
    <row r="33" ht="21" customHeight="1" s="44">
      <c r="E33" s="20" t="n"/>
      <c r="F33" s="20" t="n"/>
      <c r="G33" s="20" t="n"/>
    </row>
    <row r="34" ht="21" customHeight="1" s="44">
      <c r="E34" s="20" t="n"/>
      <c r="F34" s="20" t="n"/>
      <c r="G34" s="20" t="n"/>
    </row>
    <row r="35" ht="21" customHeight="1" s="44">
      <c r="E35" s="20" t="n"/>
      <c r="F35" s="20" t="n"/>
      <c r="G35" s="20" t="n"/>
    </row>
    <row r="36" ht="21" customHeight="1" s="44">
      <c r="E36" s="20" t="n"/>
      <c r="F36" s="20" t="n"/>
      <c r="G36" s="20" t="n"/>
    </row>
    <row r="37" ht="21" customHeight="1" s="44">
      <c r="E37" s="20" t="n"/>
      <c r="F37" s="20" t="n"/>
      <c r="G37" s="20" t="n"/>
    </row>
    <row r="38" ht="21" customHeight="1" s="44">
      <c r="E38" s="20" t="n"/>
      <c r="F38" s="20" t="n"/>
      <c r="G38" s="20" t="n"/>
    </row>
    <row r="39" ht="21" customHeight="1" s="44">
      <c r="E39" s="20" t="n"/>
      <c r="F39" s="20" t="n"/>
      <c r="G39" s="20" t="n"/>
    </row>
    <row r="40" ht="21" customHeight="1" s="44">
      <c r="E40" s="20" t="n"/>
      <c r="F40" s="20" t="n"/>
      <c r="G40" s="20" t="n"/>
    </row>
    <row r="41" ht="21" customHeight="1" s="44">
      <c r="E41" s="20" t="n"/>
      <c r="F41" s="20" t="n"/>
      <c r="G41" s="20" t="n"/>
    </row>
    <row r="42" ht="21" customHeight="1" s="44">
      <c r="E42" s="20" t="n"/>
      <c r="F42" s="20" t="n"/>
      <c r="G42" s="20" t="n"/>
    </row>
    <row r="43" ht="21" customHeight="1" s="44">
      <c r="E43" s="20" t="n"/>
      <c r="F43" s="20" t="n"/>
      <c r="G43" s="20" t="n"/>
    </row>
    <row r="44" ht="21" customHeight="1" s="44">
      <c r="E44" s="20" t="n"/>
      <c r="F44" s="20" t="n"/>
      <c r="G44" s="20" t="n"/>
    </row>
    <row r="45" ht="21" customHeight="1" s="44">
      <c r="E45" s="20" t="n"/>
      <c r="F45" s="20" t="n"/>
      <c r="G45" s="20" t="n"/>
    </row>
    <row r="46" ht="21" customHeight="1" s="44">
      <c r="E46" s="20" t="n"/>
      <c r="F46" s="20" t="n"/>
      <c r="G46" s="20" t="n"/>
    </row>
    <row r="47" ht="21" customHeight="1" s="44">
      <c r="E47" s="20" t="n"/>
      <c r="F47" s="20" t="n"/>
      <c r="G47" s="20" t="n"/>
    </row>
    <row r="48" ht="21" customHeight="1" s="44">
      <c r="E48" s="20" t="n"/>
      <c r="F48" s="20" t="n"/>
      <c r="G48" s="20" t="n"/>
    </row>
    <row r="49" ht="21" customHeight="1" s="44">
      <c r="E49" s="20" t="n"/>
      <c r="F49" s="20" t="n"/>
      <c r="G49" s="20" t="n"/>
    </row>
    <row r="50" ht="21" customHeight="1" s="44">
      <c r="E50" s="20" t="n"/>
      <c r="F50" s="20" t="n"/>
      <c r="G50" s="20" t="n"/>
    </row>
    <row r="51" ht="21" customHeight="1" s="44">
      <c r="E51" s="20" t="n"/>
      <c r="F51" s="20" t="n"/>
      <c r="G51" s="20" t="n"/>
    </row>
    <row r="52" ht="21" customHeight="1" s="44">
      <c r="E52" s="20" t="n"/>
      <c r="F52" s="20" t="n"/>
      <c r="G52" s="20" t="n"/>
    </row>
    <row r="53" ht="21" customHeight="1" s="44">
      <c r="E53" s="20" t="n"/>
      <c r="F53" s="20" t="n"/>
      <c r="G53" s="20" t="n"/>
    </row>
    <row r="54" ht="21" customHeight="1" s="44">
      <c r="E54" s="20" t="n"/>
      <c r="F54" s="20" t="n"/>
      <c r="G54" s="20" t="n"/>
    </row>
    <row r="55" ht="21" customHeight="1" s="44">
      <c r="E55" s="20" t="n"/>
      <c r="F55" s="20" t="n"/>
      <c r="G55" s="20" t="n"/>
    </row>
    <row r="56" ht="21" customHeight="1" s="44">
      <c r="E56" s="20" t="n"/>
      <c r="F56" s="20" t="n"/>
      <c r="G56" s="20" t="n"/>
    </row>
    <row r="57" ht="21" customHeight="1" s="44">
      <c r="E57" s="20" t="n"/>
      <c r="F57" s="20" t="n"/>
      <c r="G57" s="20" t="n"/>
    </row>
    <row r="58" ht="21" customHeight="1" s="44">
      <c r="E58" s="20" t="n"/>
      <c r="F58" s="20" t="n"/>
      <c r="G58" s="20" t="n"/>
    </row>
    <row r="59" ht="21" customHeight="1" s="44">
      <c r="E59" s="20" t="n"/>
      <c r="F59" s="20" t="n"/>
      <c r="G59" s="20" t="n"/>
    </row>
    <row r="60" ht="21" customHeight="1" s="44">
      <c r="E60" s="20" t="n"/>
      <c r="F60" s="20" t="n"/>
      <c r="G60" s="20" t="n"/>
    </row>
    <row r="61" ht="21" customHeight="1" s="44">
      <c r="E61" s="20" t="n"/>
      <c r="F61" s="20" t="n"/>
      <c r="G61" s="20" t="n"/>
    </row>
    <row r="62" ht="21" customHeight="1" s="44">
      <c r="E62" s="20" t="n"/>
      <c r="F62" s="20" t="n"/>
      <c r="G62" s="20" t="n"/>
    </row>
    <row r="63" ht="21" customHeight="1" s="44">
      <c r="E63" s="20" t="n"/>
      <c r="F63" s="20" t="n"/>
      <c r="G63" s="20" t="n"/>
    </row>
    <row r="64" ht="21" customHeight="1" s="44">
      <c r="E64" s="20" t="n"/>
      <c r="F64" s="20" t="n"/>
      <c r="G64" s="20" t="n"/>
    </row>
    <row r="65" ht="21" customHeight="1" s="44">
      <c r="E65" s="20" t="n"/>
      <c r="F65" s="20" t="n"/>
      <c r="G65" s="20" t="n"/>
    </row>
    <row r="66" ht="21" customHeight="1" s="44">
      <c r="E66" s="20" t="n"/>
      <c r="F66" s="20" t="n"/>
      <c r="G66" s="20" t="n"/>
    </row>
    <row r="67" ht="21" customHeight="1" s="44">
      <c r="E67" s="20" t="n"/>
      <c r="F67" s="20" t="n"/>
      <c r="G67" s="20" t="n"/>
    </row>
    <row r="68" ht="21" customHeight="1" s="44">
      <c r="E68" s="20" t="n"/>
      <c r="F68" s="20" t="n"/>
      <c r="G68" s="20" t="n"/>
    </row>
    <row r="69" ht="21" customHeight="1" s="44">
      <c r="E69" s="20" t="n"/>
      <c r="F69" s="20" t="n"/>
      <c r="G69" s="20" t="n"/>
    </row>
    <row r="70" ht="21" customHeight="1" s="44">
      <c r="E70" s="20" t="n"/>
      <c r="F70" s="20" t="n"/>
      <c r="G70" s="20" t="n"/>
    </row>
    <row r="71" ht="21" customHeight="1" s="44">
      <c r="E71" s="20" t="n"/>
      <c r="F71" s="20" t="n"/>
      <c r="G71" s="20" t="n"/>
    </row>
    <row r="72" ht="21" customHeight="1" s="44">
      <c r="E72" s="20" t="n"/>
      <c r="F72" s="20" t="n"/>
      <c r="G72" s="20" t="n"/>
    </row>
    <row r="73" ht="21" customHeight="1" s="44">
      <c r="E73" s="20" t="n"/>
      <c r="F73" s="20" t="n"/>
      <c r="G73" s="20" t="n"/>
    </row>
    <row r="74" ht="21" customHeight="1" s="44">
      <c r="E74" s="20" t="n"/>
      <c r="F74" s="20" t="n"/>
      <c r="G74" s="20" t="n"/>
    </row>
    <row r="75" ht="21" customHeight="1" s="44">
      <c r="E75" s="20" t="n"/>
      <c r="F75" s="20" t="n"/>
      <c r="G75" s="20" t="n"/>
    </row>
    <row r="76" ht="21" customHeight="1" s="44">
      <c r="E76" s="20" t="n"/>
      <c r="F76" s="20" t="n"/>
      <c r="G76" s="20" t="n"/>
    </row>
    <row r="77" ht="21" customHeight="1" s="44">
      <c r="E77" s="20" t="n"/>
      <c r="F77" s="20" t="n"/>
      <c r="G77" s="20" t="n"/>
    </row>
    <row r="78" ht="21" customHeight="1" s="44">
      <c r="E78" s="20" t="n"/>
      <c r="F78" s="20" t="n"/>
      <c r="G78" s="20" t="n"/>
    </row>
    <row r="79" ht="21" customHeight="1" s="44">
      <c r="E79" s="20" t="n"/>
      <c r="F79" s="20" t="n"/>
      <c r="G79" s="20" t="n"/>
    </row>
    <row r="80" ht="21" customHeight="1" s="44">
      <c r="E80" s="20" t="n"/>
      <c r="F80" s="20" t="n"/>
      <c r="G80" s="20" t="n"/>
    </row>
    <row r="81" ht="21" customHeight="1" s="44">
      <c r="E81" s="20" t="n"/>
      <c r="F81" s="20" t="n"/>
      <c r="G81" s="20" t="n"/>
    </row>
    <row r="82" ht="21" customHeight="1" s="44">
      <c r="E82" s="20" t="n"/>
      <c r="F82" s="20" t="n"/>
      <c r="G82" s="20" t="n"/>
    </row>
    <row r="83" ht="21" customHeight="1" s="44">
      <c r="E83" s="20" t="n"/>
      <c r="F83" s="20" t="n"/>
      <c r="G83" s="20" t="n"/>
    </row>
    <row r="84" ht="21" customHeight="1" s="44">
      <c r="E84" s="20" t="n"/>
      <c r="F84" s="20" t="n"/>
      <c r="G84" s="20" t="n"/>
    </row>
    <row r="85" ht="21" customHeight="1" s="44">
      <c r="E85" s="20" t="n"/>
      <c r="F85" s="20" t="n"/>
      <c r="G85" s="20" t="n"/>
    </row>
    <row r="86" ht="21" customHeight="1" s="44">
      <c r="E86" s="20" t="n"/>
      <c r="F86" s="20" t="n"/>
      <c r="G86" s="20" t="n"/>
    </row>
    <row r="87" ht="21" customHeight="1" s="44">
      <c r="E87" s="20" t="n"/>
      <c r="F87" s="20" t="n"/>
      <c r="G87" s="20" t="n"/>
    </row>
    <row r="88" ht="21" customHeight="1" s="44">
      <c r="E88" s="20" t="n"/>
      <c r="F88" s="20" t="n"/>
      <c r="G88" s="20" t="n"/>
    </row>
    <row r="89" ht="21" customHeight="1" s="44">
      <c r="E89" s="20" t="n"/>
      <c r="F89" s="20" t="n"/>
      <c r="G89" s="20" t="n"/>
    </row>
    <row r="90" ht="21" customHeight="1" s="44">
      <c r="E90" s="20" t="n"/>
      <c r="F90" s="20" t="n"/>
      <c r="G90" s="20" t="n"/>
    </row>
    <row r="91" ht="21" customHeight="1" s="44">
      <c r="E91" s="20" t="n"/>
      <c r="F91" s="20" t="n"/>
      <c r="G91" s="20" t="n"/>
    </row>
    <row r="92" ht="21" customHeight="1" s="44">
      <c r="E92" s="20" t="n"/>
      <c r="F92" s="20" t="n"/>
      <c r="G92" s="20" t="n"/>
    </row>
    <row r="93" ht="21" customHeight="1" s="44">
      <c r="E93" s="20" t="n"/>
      <c r="F93" s="20" t="n"/>
      <c r="G93" s="20" t="n"/>
    </row>
    <row r="94" ht="21" customHeight="1" s="44">
      <c r="E94" s="20" t="n"/>
      <c r="F94" s="20" t="n"/>
      <c r="G94" s="20" t="n"/>
    </row>
    <row r="95" ht="21" customHeight="1" s="44">
      <c r="E95" s="20" t="n"/>
      <c r="F95" s="20" t="n"/>
      <c r="G95" s="20" t="n"/>
    </row>
    <row r="96" ht="21" customHeight="1" s="44">
      <c r="E96" s="20" t="n"/>
      <c r="F96" s="20" t="n"/>
      <c r="G96" s="20" t="n"/>
    </row>
    <row r="97" ht="21" customHeight="1" s="44">
      <c r="E97" s="20" t="n"/>
      <c r="F97" s="20" t="n"/>
      <c r="G97" s="20" t="n"/>
    </row>
    <row r="98" ht="21" customHeight="1" s="44">
      <c r="E98" s="20" t="n"/>
      <c r="F98" s="20" t="n"/>
      <c r="G98" s="20" t="n"/>
    </row>
    <row r="99" ht="21" customHeight="1" s="44">
      <c r="E99" s="20" t="n"/>
      <c r="F99" s="20" t="n"/>
      <c r="G99" s="20" t="n"/>
    </row>
    <row r="100" ht="21" customHeight="1" s="44">
      <c r="E100" s="20" t="n"/>
      <c r="F100" s="20" t="n"/>
      <c r="G100" s="20" t="n"/>
    </row>
    <row r="101" ht="21" customHeight="1" s="44">
      <c r="E101" s="20" t="n"/>
      <c r="F101" s="20" t="n"/>
      <c r="G101" s="20" t="n"/>
    </row>
    <row r="102" ht="21" customHeight="1" s="44">
      <c r="E102" s="20" t="n"/>
      <c r="F102" s="20" t="n"/>
      <c r="G102" s="20" t="n"/>
    </row>
    <row r="103" ht="21" customHeight="1" s="44">
      <c r="E103" s="20" t="n"/>
      <c r="F103" s="20" t="n"/>
      <c r="G103" s="20" t="n"/>
    </row>
    <row r="104" ht="21" customHeight="1" s="44">
      <c r="E104" s="20" t="n"/>
      <c r="F104" s="20" t="n"/>
      <c r="G104" s="20" t="n"/>
    </row>
    <row r="105" ht="21" customHeight="1" s="44">
      <c r="E105" s="20" t="n"/>
      <c r="F105" s="20" t="n"/>
      <c r="G105" s="20" t="n"/>
    </row>
    <row r="106" ht="21" customHeight="1" s="44">
      <c r="E106" s="20" t="n"/>
      <c r="F106" s="20" t="n"/>
      <c r="G106" s="20" t="n"/>
    </row>
    <row r="107" ht="21" customHeight="1" s="44">
      <c r="E107" s="20" t="n"/>
      <c r="F107" s="20" t="n"/>
      <c r="G107" s="20" t="n"/>
    </row>
    <row r="108" ht="21" customHeight="1" s="44">
      <c r="E108" s="20" t="n"/>
      <c r="F108" s="20" t="n"/>
      <c r="G108" s="20" t="n"/>
    </row>
    <row r="109" ht="21" customHeight="1" s="44">
      <c r="E109" s="20" t="n"/>
      <c r="F109" s="20" t="n"/>
      <c r="G109" s="20" t="n"/>
    </row>
    <row r="110" ht="21" customHeight="1" s="44">
      <c r="E110" s="20" t="n"/>
      <c r="F110" s="20" t="n"/>
      <c r="G110" s="20" t="n"/>
    </row>
    <row r="111" ht="21" customHeight="1" s="44">
      <c r="E111" s="20" t="n"/>
      <c r="F111" s="20" t="n"/>
      <c r="G111" s="20" t="n"/>
    </row>
    <row r="112" ht="21" customHeight="1" s="44">
      <c r="E112" s="20" t="n"/>
      <c r="F112" s="20" t="n"/>
      <c r="G112" s="20" t="n"/>
    </row>
    <row r="113" ht="21" customHeight="1" s="44">
      <c r="E113" s="20" t="n"/>
      <c r="F113" s="20" t="n"/>
      <c r="G113" s="20" t="n"/>
    </row>
    <row r="114" ht="21" customHeight="1" s="44">
      <c r="E114" s="20" t="n"/>
      <c r="F114" s="20" t="n"/>
      <c r="G114" s="20" t="n"/>
    </row>
    <row r="115" ht="21" customHeight="1" s="44">
      <c r="E115" s="20" t="n"/>
      <c r="F115" s="20" t="n"/>
      <c r="G115" s="20" t="n"/>
    </row>
    <row r="116" ht="21" customHeight="1" s="44">
      <c r="E116" s="20" t="n"/>
      <c r="F116" s="20" t="n"/>
      <c r="G116" s="20" t="n"/>
    </row>
    <row r="117" ht="21" customHeight="1" s="44">
      <c r="E117" s="20" t="n"/>
      <c r="F117" s="20" t="n"/>
      <c r="G117" s="20" t="n"/>
    </row>
    <row r="118" ht="21" customHeight="1" s="44">
      <c r="E118" s="20" t="n"/>
      <c r="F118" s="20" t="n"/>
      <c r="G118" s="20" t="n"/>
    </row>
    <row r="119" ht="21" customHeight="1" s="44">
      <c r="E119" s="20" t="n"/>
      <c r="F119" s="20" t="n"/>
      <c r="G119" s="20" t="n"/>
    </row>
    <row r="120" ht="21" customHeight="1" s="44">
      <c r="E120" s="20" t="n"/>
      <c r="F120" s="20" t="n"/>
      <c r="G120" s="20" t="n"/>
    </row>
    <row r="121" ht="21" customHeight="1" s="44">
      <c r="E121" s="20" t="n"/>
      <c r="F121" s="20" t="n"/>
      <c r="G121" s="20" t="n"/>
    </row>
    <row r="122" ht="21" customHeight="1" s="44">
      <c r="E122" s="20" t="n"/>
      <c r="F122" s="20" t="n"/>
      <c r="G122" s="20" t="n"/>
    </row>
    <row r="123" ht="21" customHeight="1" s="44">
      <c r="E123" s="20" t="n"/>
      <c r="F123" s="20" t="n"/>
      <c r="G123" s="20" t="n"/>
    </row>
    <row r="124" ht="21" customHeight="1" s="44">
      <c r="E124" s="20" t="n"/>
      <c r="F124" s="20" t="n"/>
      <c r="G124" s="20" t="n"/>
    </row>
    <row r="125" ht="21" customHeight="1" s="44">
      <c r="E125" s="20" t="n"/>
      <c r="F125" s="20" t="n"/>
      <c r="G125" s="20" t="n"/>
    </row>
    <row r="126" ht="21" customHeight="1" s="44">
      <c r="E126" s="20" t="n"/>
      <c r="F126" s="20" t="n"/>
      <c r="G126" s="20" t="n"/>
    </row>
    <row r="127" ht="21" customHeight="1" s="44">
      <c r="E127" s="20" t="n"/>
      <c r="F127" s="20" t="n"/>
      <c r="G127" s="20" t="n"/>
    </row>
    <row r="128" ht="21" customHeight="1" s="44">
      <c r="E128" s="20" t="n"/>
      <c r="F128" s="20" t="n"/>
      <c r="G128" s="20" t="n"/>
    </row>
    <row r="129" ht="21" customHeight="1" s="44">
      <c r="E129" s="20" t="n"/>
      <c r="F129" s="20" t="n"/>
      <c r="G129" s="20" t="n"/>
    </row>
    <row r="130" ht="21" customHeight="1" s="44">
      <c r="E130" s="20" t="n"/>
      <c r="F130" s="20" t="n"/>
      <c r="G130" s="20" t="n"/>
    </row>
    <row r="131" ht="21" customHeight="1" s="44">
      <c r="E131" s="20" t="n"/>
      <c r="F131" s="20" t="n"/>
      <c r="G131" s="20" t="n"/>
    </row>
    <row r="132" ht="21" customHeight="1" s="44">
      <c r="E132" s="20" t="n"/>
      <c r="F132" s="20" t="n"/>
      <c r="G132" s="20" t="n"/>
    </row>
    <row r="133" ht="21" customHeight="1" s="44">
      <c r="E133" s="20" t="n"/>
      <c r="F133" s="20" t="n"/>
      <c r="G133" s="20" t="n"/>
    </row>
    <row r="134" ht="21" customHeight="1" s="44">
      <c r="E134" s="20" t="n"/>
      <c r="F134" s="20" t="n"/>
      <c r="G134" s="20" t="n"/>
    </row>
    <row r="135" ht="21" customHeight="1" s="44">
      <c r="E135" s="20" t="n"/>
      <c r="F135" s="20" t="n"/>
      <c r="G135" s="20" t="n"/>
    </row>
    <row r="136" ht="21" customHeight="1" s="44">
      <c r="E136" s="20" t="n"/>
      <c r="F136" s="20" t="n"/>
      <c r="G136" s="20" t="n"/>
    </row>
    <row r="137" ht="21" customHeight="1" s="44">
      <c r="E137" s="20" t="n"/>
      <c r="F137" s="20" t="n"/>
      <c r="G137" s="20" t="n"/>
    </row>
    <row r="138" ht="21" customHeight="1" s="44">
      <c r="E138" s="20" t="n"/>
      <c r="F138" s="20" t="n"/>
      <c r="G138" s="20" t="n"/>
    </row>
    <row r="139" ht="21" customHeight="1" s="44">
      <c r="E139" s="20" t="n"/>
      <c r="F139" s="20" t="n"/>
      <c r="G139" s="20" t="n"/>
    </row>
    <row r="140" ht="21" customHeight="1" s="44">
      <c r="E140" s="20" t="n"/>
      <c r="F140" s="20" t="n"/>
      <c r="G140" s="20" t="n"/>
    </row>
    <row r="141" ht="21" customHeight="1" s="44">
      <c r="E141" s="20" t="n"/>
      <c r="F141" s="20" t="n"/>
      <c r="G141" s="20" t="n"/>
    </row>
    <row r="142" ht="21" customHeight="1" s="44">
      <c r="E142" s="20" t="n"/>
      <c r="F142" s="20" t="n"/>
      <c r="G142" s="20" t="n"/>
    </row>
    <row r="143" ht="21" customHeight="1" s="44">
      <c r="E143" s="20" t="n"/>
      <c r="F143" s="20" t="n"/>
      <c r="G143" s="20" t="n"/>
    </row>
    <row r="144" ht="21" customHeight="1" s="44">
      <c r="E144" s="20" t="n"/>
      <c r="F144" s="20" t="n"/>
      <c r="G144" s="20" t="n"/>
    </row>
    <row r="145" ht="21" customHeight="1" s="44">
      <c r="E145" s="20" t="n"/>
      <c r="F145" s="20" t="n"/>
      <c r="G145" s="20" t="n"/>
    </row>
    <row r="146" ht="21" customHeight="1" s="44">
      <c r="E146" s="20" t="n"/>
      <c r="F146" s="20" t="n"/>
      <c r="G146" s="20" t="n"/>
    </row>
    <row r="147" ht="21" customHeight="1" s="44">
      <c r="E147" s="20" t="n"/>
      <c r="F147" s="20" t="n"/>
      <c r="G147" s="20" t="n"/>
    </row>
    <row r="148" ht="21" customHeight="1" s="44">
      <c r="E148" s="20" t="n"/>
      <c r="F148" s="20" t="n"/>
      <c r="G148" s="20" t="n"/>
    </row>
    <row r="149" ht="21" customHeight="1" s="44">
      <c r="E149" s="20" t="n"/>
      <c r="F149" s="20" t="n"/>
      <c r="G149" s="20" t="n"/>
    </row>
    <row r="150" ht="21" customHeight="1" s="44">
      <c r="E150" s="20" t="n"/>
      <c r="F150" s="20" t="n"/>
      <c r="G150" s="20" t="n"/>
    </row>
    <row r="151" ht="21" customHeight="1" s="44">
      <c r="E151" s="20" t="n"/>
      <c r="F151" s="20" t="n"/>
      <c r="G151" s="20" t="n"/>
    </row>
    <row r="152" ht="21" customHeight="1" s="44">
      <c r="E152" s="20" t="n"/>
      <c r="F152" s="20" t="n"/>
      <c r="G152" s="20" t="n"/>
    </row>
    <row r="153" ht="21" customHeight="1" s="44">
      <c r="E153" s="20" t="n"/>
      <c r="F153" s="20" t="n"/>
      <c r="G153" s="20" t="n"/>
    </row>
    <row r="154" ht="21" customHeight="1" s="44">
      <c r="E154" s="20" t="n"/>
      <c r="F154" s="20" t="n"/>
      <c r="G154" s="20" t="n"/>
    </row>
    <row r="155" ht="21" customHeight="1" s="44">
      <c r="E155" s="20" t="n"/>
      <c r="F155" s="20" t="n"/>
      <c r="G155" s="20" t="n"/>
    </row>
    <row r="156" ht="21" customHeight="1" s="44">
      <c r="E156" s="20" t="n"/>
      <c r="F156" s="20" t="n"/>
      <c r="G156" s="20" t="n"/>
    </row>
    <row r="157" ht="21" customHeight="1" s="44">
      <c r="E157" s="20" t="n"/>
      <c r="F157" s="20" t="n"/>
      <c r="G157" s="20" t="n"/>
    </row>
    <row r="158" ht="21" customHeight="1" s="44">
      <c r="E158" s="20" t="n"/>
      <c r="F158" s="20" t="n"/>
      <c r="G158" s="20" t="n"/>
    </row>
    <row r="159" ht="21" customHeight="1" s="44">
      <c r="E159" s="20" t="n"/>
      <c r="F159" s="20" t="n"/>
      <c r="G159" s="20" t="n"/>
    </row>
    <row r="160" ht="21" customHeight="1" s="44">
      <c r="E160" s="20" t="n"/>
      <c r="F160" s="20" t="n"/>
      <c r="G160" s="20" t="n"/>
    </row>
    <row r="161" ht="21" customHeight="1" s="44">
      <c r="E161" s="20" t="n"/>
      <c r="F161" s="20" t="n"/>
      <c r="G161" s="20" t="n"/>
    </row>
    <row r="162" ht="21" customHeight="1" s="44">
      <c r="E162" s="20" t="n"/>
      <c r="F162" s="20" t="n"/>
      <c r="G162" s="20" t="n"/>
    </row>
    <row r="163" ht="21" customHeight="1" s="44">
      <c r="E163" s="20" t="n"/>
      <c r="F163" s="20" t="n"/>
      <c r="G163" s="20" t="n"/>
    </row>
    <row r="164" ht="21" customHeight="1" s="44">
      <c r="E164" s="20" t="n"/>
      <c r="F164" s="20" t="n"/>
      <c r="G164" s="20" t="n"/>
    </row>
    <row r="165" ht="21" customHeight="1" s="44">
      <c r="E165" s="20" t="n"/>
      <c r="F165" s="20" t="n"/>
      <c r="G165" s="20" t="n"/>
    </row>
    <row r="166" ht="21" customHeight="1" s="44">
      <c r="E166" s="20" t="n"/>
      <c r="F166" s="20" t="n"/>
      <c r="G166" s="20" t="n"/>
    </row>
    <row r="167" ht="21" customHeight="1" s="44">
      <c r="E167" s="20" t="n"/>
      <c r="F167" s="20" t="n"/>
      <c r="G167" s="20" t="n"/>
    </row>
    <row r="168" ht="21" customHeight="1" s="44">
      <c r="E168" s="20" t="n"/>
      <c r="F168" s="20" t="n"/>
      <c r="G168" s="20" t="n"/>
    </row>
    <row r="169" ht="21" customHeight="1" s="44">
      <c r="E169" s="20" t="n"/>
      <c r="F169" s="20" t="n"/>
      <c r="G169" s="20" t="n"/>
    </row>
    <row r="170" ht="21" customHeight="1" s="44">
      <c r="E170" s="20" t="n"/>
      <c r="F170" s="20" t="n"/>
      <c r="G170" s="20" t="n"/>
    </row>
    <row r="171" ht="21" customHeight="1" s="44">
      <c r="E171" s="20" t="n"/>
      <c r="F171" s="20" t="n"/>
      <c r="G171" s="20" t="n"/>
    </row>
    <row r="172" ht="21" customHeight="1" s="44">
      <c r="E172" s="20" t="n"/>
      <c r="F172" s="20" t="n"/>
      <c r="G172" s="20" t="n"/>
    </row>
    <row r="173" ht="21" customHeight="1" s="44">
      <c r="E173" s="20" t="n"/>
      <c r="F173" s="20" t="n"/>
      <c r="G173" s="20" t="n"/>
    </row>
    <row r="174" ht="21" customHeight="1" s="44">
      <c r="E174" s="20" t="n"/>
      <c r="F174" s="20" t="n"/>
      <c r="G174" s="20" t="n"/>
    </row>
    <row r="175" ht="21" customHeight="1" s="44">
      <c r="E175" s="20" t="n"/>
      <c r="F175" s="20" t="n"/>
      <c r="G175" s="20" t="n"/>
    </row>
    <row r="176" ht="21" customHeight="1" s="44">
      <c r="E176" s="20" t="n"/>
      <c r="F176" s="20" t="n"/>
      <c r="G176" s="20" t="n"/>
    </row>
    <row r="177" ht="21" customHeight="1" s="44">
      <c r="E177" s="20" t="n"/>
      <c r="F177" s="20" t="n"/>
      <c r="G177" s="20" t="n"/>
    </row>
    <row r="178" ht="21" customHeight="1" s="44">
      <c r="E178" s="20" t="n"/>
      <c r="F178" s="20" t="n"/>
      <c r="G178" s="20" t="n"/>
    </row>
    <row r="179" ht="21" customHeight="1" s="44">
      <c r="E179" s="20" t="n"/>
      <c r="F179" s="20" t="n"/>
      <c r="G179" s="20" t="n"/>
    </row>
    <row r="180" ht="21" customHeight="1" s="44">
      <c r="E180" s="20" t="n"/>
      <c r="F180" s="20" t="n"/>
      <c r="G180" s="20" t="n"/>
    </row>
    <row r="181" ht="21" customHeight="1" s="44">
      <c r="E181" s="20" t="n"/>
      <c r="F181" s="20" t="n"/>
      <c r="G181" s="20" t="n"/>
    </row>
    <row r="182" ht="21" customHeight="1" s="44">
      <c r="E182" s="20" t="n"/>
      <c r="F182" s="20" t="n"/>
      <c r="G182" s="20" t="n"/>
    </row>
    <row r="183" ht="21" customHeight="1" s="44">
      <c r="E183" s="20" t="n"/>
      <c r="F183" s="20" t="n"/>
      <c r="G183" s="20" t="n"/>
    </row>
    <row r="184" ht="21" customHeight="1" s="44">
      <c r="E184" s="20" t="n"/>
      <c r="F184" s="20" t="n"/>
      <c r="G184" s="20" t="n"/>
    </row>
    <row r="185" ht="21" customHeight="1" s="44">
      <c r="E185" s="20" t="n"/>
      <c r="F185" s="20" t="n"/>
      <c r="G185" s="20" t="n"/>
    </row>
    <row r="186" ht="21" customHeight="1" s="44">
      <c r="E186" s="20" t="n"/>
      <c r="F186" s="20" t="n"/>
      <c r="G186" s="20" t="n"/>
    </row>
    <row r="187" ht="21" customHeight="1" s="44">
      <c r="E187" s="20" t="n"/>
      <c r="F187" s="20" t="n"/>
      <c r="G187" s="20" t="n"/>
    </row>
    <row r="188" ht="21" customHeight="1" s="44">
      <c r="E188" s="20" t="n"/>
      <c r="F188" s="20" t="n"/>
      <c r="G188" s="20" t="n"/>
    </row>
    <row r="189" ht="21" customHeight="1" s="44">
      <c r="E189" s="20" t="n"/>
      <c r="F189" s="20" t="n"/>
      <c r="G189" s="20" t="n"/>
    </row>
    <row r="190" ht="21" customHeight="1" s="44">
      <c r="E190" s="20" t="n"/>
      <c r="F190" s="20" t="n"/>
      <c r="G190" s="20" t="n"/>
    </row>
    <row r="191" ht="21" customHeight="1" s="44">
      <c r="E191" s="20" t="n"/>
      <c r="F191" s="20" t="n"/>
      <c r="G191" s="20" t="n"/>
    </row>
    <row r="192" ht="21" customHeight="1" s="44">
      <c r="E192" s="20" t="n"/>
      <c r="F192" s="20" t="n"/>
      <c r="G192" s="20" t="n"/>
    </row>
    <row r="193" ht="21" customHeight="1" s="44">
      <c r="E193" s="20" t="n"/>
      <c r="F193" s="20" t="n"/>
      <c r="G193" s="20" t="n"/>
    </row>
    <row r="194" ht="21" customHeight="1" s="44">
      <c r="E194" s="20" t="n"/>
      <c r="F194" s="20" t="n"/>
      <c r="G194" s="20" t="n"/>
    </row>
    <row r="195" ht="21" customHeight="1" s="44">
      <c r="E195" s="20" t="n"/>
      <c r="F195" s="20" t="n"/>
      <c r="G195" s="20" t="n"/>
    </row>
    <row r="196" ht="21" customHeight="1" s="44">
      <c r="E196" s="20" t="n"/>
      <c r="F196" s="20" t="n"/>
      <c r="G196" s="20" t="n"/>
    </row>
    <row r="197" ht="21" customHeight="1" s="44">
      <c r="E197" s="20" t="n"/>
      <c r="F197" s="20" t="n"/>
      <c r="G197" s="20" t="n"/>
    </row>
    <row r="198" ht="21" customHeight="1" s="44">
      <c r="E198" s="20" t="n"/>
      <c r="F198" s="20" t="n"/>
      <c r="G198" s="20" t="n"/>
    </row>
    <row r="199" ht="21" customHeight="1" s="44">
      <c r="E199" s="20" t="n"/>
      <c r="F199" s="20" t="n"/>
      <c r="G199" s="20" t="n"/>
    </row>
    <row r="200" ht="21" customHeight="1" s="44">
      <c r="E200" s="20" t="n"/>
      <c r="F200" s="20" t="n"/>
      <c r="G200" s="20" t="n"/>
    </row>
    <row r="201" ht="21" customHeight="1" s="44">
      <c r="E201" s="20" t="n"/>
      <c r="F201" s="20" t="n"/>
      <c r="G201" s="20" t="n"/>
    </row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  <row r="1001" ht="15.75" customHeight="1" s="44"/>
  </sheetData>
  <autoFilter ref="$A$4:$L$10"/>
  <mergeCells count="2">
    <mergeCell ref="A2:L2"/>
    <mergeCell ref="A1:L1"/>
  </mergeCells>
  <conditionalFormatting sqref="G5:G201">
    <cfRule type="cellIs" priority="1" operator="equal" dxfId="6">
      <formula>"Pass"</formula>
    </cfRule>
    <cfRule type="cellIs" priority="2" operator="equal" dxfId="3">
      <formula>"Fail"</formula>
    </cfRule>
    <cfRule type="cellIs" priority="3" operator="equal" dxfId="4">
      <formula>"Blocked"</formula>
    </cfRule>
    <cfRule type="cellIs" priority="4" operator="equal" dxfId="3">
      <formula>"Open"</formula>
    </cfRule>
    <cfRule type="cellIs" priority="5" operator="equal" dxfId="7">
      <formula>"In Progress"</formula>
    </cfRule>
    <cfRule type="cellIs" priority="6" operator="equal" dxfId="4">
      <formula>"Retest"</formula>
    </cfRule>
    <cfRule type="cellIs" priority="7" operator="equal" dxfId="6">
      <formula>"Closed"</formula>
    </cfRule>
    <cfRule type="cellIs" priority="8" operator="equal" dxfId="8">
      <formula>"Not Run"</formula>
    </cfRule>
  </conditionalFormatting>
  <dataValidations count="3">
    <dataValidation sqref="E5:E201" showDropDown="0" showInputMessage="0" showErrorMessage="0" allowBlank="1" type="list">
      <formula1>"Low,Medium,High,Critical"</formula1>
    </dataValidation>
    <dataValidation sqref="G5:G201" showDropDown="0" showInputMessage="0" showErrorMessage="0" allowBlank="1" type="list">
      <formula1>"Not Run,Open,In Progress,Pass,Fail,Blocked,Retest,Closed"</formula1>
    </dataValidation>
    <dataValidation sqref="F5:F201" showDropDown="0" showInputMessage="0" showErrorMessage="0" allowBlank="1" type="list">
      <formula1>"Low,Medium,High"</formula1>
    </dataValidation>
  </dataValidation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6C8EAD"/>
    <outlinePr summaryBelow="1" summaryRight="1"/>
    <pageSetUpPr/>
  </sheetPr>
  <dimension ref="A1:J7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10.5" customWidth="1" style="44" min="1" max="1"/>
    <col width="17.5" customWidth="1" style="44" min="2" max="2"/>
    <col width="15.75" customWidth="1" style="44" min="3" max="3"/>
    <col width="29.75" customWidth="1" style="44" min="4" max="4"/>
    <col width="24.5" customWidth="1" style="44" min="5" max="5"/>
    <col width="33.25" customWidth="1" style="44" min="6" max="6"/>
    <col width="36.75" customWidth="1" style="44" min="7" max="7"/>
    <col width="10.5" customWidth="1" style="44" min="8" max="8"/>
    <col width="12.25" customWidth="1" style="44" min="9" max="9"/>
    <col width="10.5" customWidth="1" style="44" min="10" max="10"/>
    <col width="7.63" customWidth="1" style="44" min="11" max="26"/>
  </cols>
  <sheetData>
    <row r="1" ht="24" customHeight="1" s="44">
      <c r="A1" s="50" t="inlineStr">
        <is>
          <t>User Profile Page Test Cases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</row>
    <row r="2" ht="19.5" customHeight="1" s="44">
      <c r="A2" s="52" t="inlineStr">
        <is>
          <t>Coverage includes Profile Information, Account Information, Security, and edge cases. Product identity has been anonymized.</t>
        </is>
      </c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</row>
    <row r="3"/>
    <row r="4" ht="36" customHeight="1" s="44">
      <c r="A4" s="31" t="inlineStr">
        <is>
          <t>TC ID</t>
        </is>
      </c>
      <c r="B4" s="31" t="inlineStr">
        <is>
          <t>Module</t>
        </is>
      </c>
      <c r="C4" s="31" t="inlineStr">
        <is>
          <t>Feature</t>
        </is>
      </c>
      <c r="D4" s="31" t="inlineStr">
        <is>
          <t>Scenario / Test Objective</t>
        </is>
      </c>
      <c r="E4" s="31" t="inlineStr">
        <is>
          <t>Preconditions</t>
        </is>
      </c>
      <c r="F4" s="31" t="inlineStr">
        <is>
          <t>Test Steps</t>
        </is>
      </c>
      <c r="G4" s="31" t="inlineStr">
        <is>
          <t>Expected Result</t>
        </is>
      </c>
      <c r="H4" s="31" t="inlineStr">
        <is>
          <t>Priority</t>
        </is>
      </c>
      <c r="I4" s="31" t="inlineStr">
        <is>
          <t>Type</t>
        </is>
      </c>
      <c r="J4" s="31" t="inlineStr">
        <is>
          <t>Status</t>
        </is>
      </c>
    </row>
    <row r="5" ht="36" customHeight="1" s="44">
      <c r="A5" s="32" t="inlineStr">
        <is>
          <t>UP-001</t>
        </is>
      </c>
      <c r="B5" s="32" t="inlineStr">
        <is>
          <t>Profile Information</t>
        </is>
      </c>
      <c r="C5" s="32" t="inlineStr">
        <is>
          <t>Profile Photo</t>
        </is>
      </c>
      <c r="D5" s="32" t="inlineStr">
        <is>
          <t>Upload a valid JPG profile photo successfully</t>
        </is>
      </c>
      <c r="E5" s="32" t="inlineStr">
        <is>
          <t>User is logged in and on User Profile page</t>
        </is>
      </c>
      <c r="F5" s="32" t="inlineStr">
        <is>
          <t>1. Click Profile Photo upload
2. Select a valid JPG image under size limit
3. Save changes</t>
        </is>
      </c>
      <c r="G5" s="32" t="inlineStr">
        <is>
          <t>Photo uploads successfully, preview is shown, and saved image persists after refresh/re-login.</t>
        </is>
      </c>
      <c r="H5" s="34" t="inlineStr">
        <is>
          <t>High</t>
        </is>
      </c>
      <c r="I5" s="34" t="inlineStr">
        <is>
          <t>Positive</t>
        </is>
      </c>
      <c r="J5" s="34" t="inlineStr">
        <is>
          <t>Pass</t>
        </is>
      </c>
    </row>
    <row r="6" ht="36" customHeight="1" s="44">
      <c r="A6" s="35" t="inlineStr">
        <is>
          <t>UP-002</t>
        </is>
      </c>
      <c r="B6" s="35" t="inlineStr">
        <is>
          <t>Profile Information</t>
        </is>
      </c>
      <c r="C6" s="35" t="inlineStr">
        <is>
          <t>Profile Photo</t>
        </is>
      </c>
      <c r="D6" s="35" t="inlineStr">
        <is>
          <t>Upload a valid PNG profile photo successfully</t>
        </is>
      </c>
      <c r="E6" s="35" t="inlineStr">
        <is>
          <t>User is logged in</t>
        </is>
      </c>
      <c r="F6" s="35" t="inlineStr">
        <is>
          <t>1. Upload PNG image
2. Save changes</t>
        </is>
      </c>
      <c r="G6" s="35" t="inlineStr">
        <is>
          <t>PNG image is accepted and displayed correctly.</t>
        </is>
      </c>
      <c r="H6" s="37" t="inlineStr">
        <is>
          <t>Medium</t>
        </is>
      </c>
      <c r="I6" s="37" t="inlineStr">
        <is>
          <t>Positive</t>
        </is>
      </c>
      <c r="J6" s="37" t="inlineStr">
        <is>
          <t>Pass</t>
        </is>
      </c>
    </row>
    <row r="7" ht="36" customHeight="1" s="44">
      <c r="A7" s="32" t="inlineStr">
        <is>
          <t>UP-003</t>
        </is>
      </c>
      <c r="B7" s="32" t="inlineStr">
        <is>
          <t>Profile Information</t>
        </is>
      </c>
      <c r="C7" s="32" t="inlineStr">
        <is>
          <t>Profile Photo</t>
        </is>
      </c>
      <c r="D7" s="32" t="inlineStr">
        <is>
          <t>Reject unsupported file type for profile photo</t>
        </is>
      </c>
      <c r="E7" s="32" t="inlineStr">
        <is>
          <t>User is logged in</t>
        </is>
      </c>
      <c r="F7" s="32" t="inlineStr">
        <is>
          <t>1. Upload unsupported file
2. Observe validation</t>
        </is>
      </c>
      <c r="G7" s="32" t="inlineStr">
        <is>
          <t>System blocks upload and shows clear validation message for unsupported format.</t>
        </is>
      </c>
      <c r="H7" s="34" t="inlineStr">
        <is>
          <t>High</t>
        </is>
      </c>
      <c r="I7" s="34" t="inlineStr">
        <is>
          <t>Negative</t>
        </is>
      </c>
      <c r="J7" s="34" t="inlineStr">
        <is>
          <t>Not Run</t>
        </is>
      </c>
    </row>
    <row r="8" ht="36" customHeight="1" s="44">
      <c r="A8" s="35" t="inlineStr">
        <is>
          <t>UP-004</t>
        </is>
      </c>
      <c r="B8" s="35" t="inlineStr">
        <is>
          <t>Profile Information</t>
        </is>
      </c>
      <c r="C8" s="35" t="inlineStr">
        <is>
          <t>Profile Photo</t>
        </is>
      </c>
      <c r="D8" s="35" t="inlineStr">
        <is>
          <t>Reject image larger than maximum allowed size</t>
        </is>
      </c>
      <c r="E8" s="35" t="inlineStr">
        <is>
          <t>User is logged in</t>
        </is>
      </c>
      <c r="F8" s="35" t="inlineStr">
        <is>
          <t>1. Upload oversized image
2. Observe validation</t>
        </is>
      </c>
      <c r="G8" s="35" t="inlineStr">
        <is>
          <t>System rejects file and displays size limit message; existing photo remains unchanged.</t>
        </is>
      </c>
      <c r="H8" s="37" t="inlineStr">
        <is>
          <t>High</t>
        </is>
      </c>
      <c r="I8" s="37" t="inlineStr">
        <is>
          <t>Negative</t>
        </is>
      </c>
      <c r="J8" s="37" t="inlineStr">
        <is>
          <t>Not Run</t>
        </is>
      </c>
    </row>
    <row r="9" ht="36" customHeight="1" s="44">
      <c r="A9" s="32" t="inlineStr">
        <is>
          <t>UP-005</t>
        </is>
      </c>
      <c r="B9" s="32" t="inlineStr">
        <is>
          <t>Profile Information</t>
        </is>
      </c>
      <c r="C9" s="32" t="inlineStr">
        <is>
          <t>Profile Photo</t>
        </is>
      </c>
      <c r="D9" s="32" t="inlineStr">
        <is>
          <t>Handle corrupted image file upload</t>
        </is>
      </c>
      <c r="E9" s="32" t="inlineStr">
        <is>
          <t>User is logged in</t>
        </is>
      </c>
      <c r="F9" s="32" t="inlineStr">
        <is>
          <t>1. Upload corrupted image
2. Save changes</t>
        </is>
      </c>
      <c r="G9" s="32" t="inlineStr">
        <is>
          <t>System rejects corrupted file gracefully without crashing.</t>
        </is>
      </c>
      <c r="H9" s="34" t="inlineStr">
        <is>
          <t>Medium</t>
        </is>
      </c>
      <c r="I9" s="34" t="inlineStr">
        <is>
          <t>Negative</t>
        </is>
      </c>
      <c r="J9" s="34" t="inlineStr">
        <is>
          <t>Not Run</t>
        </is>
      </c>
    </row>
    <row r="10" ht="36" customHeight="1" s="44">
      <c r="A10" s="35" t="inlineStr">
        <is>
          <t>UP-006</t>
        </is>
      </c>
      <c r="B10" s="35" t="inlineStr">
        <is>
          <t>Profile Information</t>
        </is>
      </c>
      <c r="C10" s="35" t="inlineStr">
        <is>
          <t>Profile Photo</t>
        </is>
      </c>
      <c r="D10" s="35" t="inlineStr">
        <is>
          <t>Cancel photo selection before saving</t>
        </is>
      </c>
      <c r="E10" s="35" t="inlineStr">
        <is>
          <t>User is logged in</t>
        </is>
      </c>
      <c r="F10" s="35" t="inlineStr">
        <is>
          <t>1. Start upload
2. Cancel file picker or remove selected image
3. Click Cancel</t>
        </is>
      </c>
      <c r="G10" s="35" t="inlineStr">
        <is>
          <t>No new photo is saved; previous state remains.</t>
        </is>
      </c>
      <c r="H10" s="37" t="inlineStr">
        <is>
          <t>Low</t>
        </is>
      </c>
      <c r="I10" s="35" t="inlineStr">
        <is>
          <t>Edge</t>
        </is>
      </c>
      <c r="J10" s="37" t="inlineStr">
        <is>
          <t>Not Run</t>
        </is>
      </c>
    </row>
    <row r="11" ht="36" customHeight="1" s="44">
      <c r="A11" s="32" t="inlineStr">
        <is>
          <t>UP-007</t>
        </is>
      </c>
      <c r="B11" s="32" t="inlineStr">
        <is>
          <t>Profile Information</t>
        </is>
      </c>
      <c r="C11" s="32" t="inlineStr">
        <is>
          <t>Profile</t>
        </is>
      </c>
      <c r="D11" s="32" t="inlineStr">
        <is>
          <t>Save profile name with valid input</t>
        </is>
      </c>
      <c r="E11" s="32" t="inlineStr">
        <is>
          <t>User is logged in</t>
        </is>
      </c>
      <c r="F11" s="32" t="inlineStr">
        <is>
          <t>1. Enter profile name
2. Save changes</t>
        </is>
      </c>
      <c r="G11" s="32" t="inlineStr">
        <is>
          <t>Profile name is saved and displayed correctly on reload.</t>
        </is>
      </c>
      <c r="H11" s="34" t="inlineStr">
        <is>
          <t>High</t>
        </is>
      </c>
      <c r="I11" s="34" t="inlineStr">
        <is>
          <t>Positive</t>
        </is>
      </c>
      <c r="J11" s="34" t="inlineStr">
        <is>
          <t>Not Run</t>
        </is>
      </c>
    </row>
    <row r="12" ht="36" customHeight="1" s="44">
      <c r="A12" s="35" t="inlineStr">
        <is>
          <t>UP-008</t>
        </is>
      </c>
      <c r="B12" s="35" t="inlineStr">
        <is>
          <t>Profile Information</t>
        </is>
      </c>
      <c r="C12" s="35" t="inlineStr">
        <is>
          <t>Profile</t>
        </is>
      </c>
      <c r="D12" s="35" t="inlineStr">
        <is>
          <t>Allow profile name at minimum boundary length</t>
        </is>
      </c>
      <c r="E12" s="35" t="inlineStr">
        <is>
          <t>User is logged in</t>
        </is>
      </c>
      <c r="F12" s="35" t="inlineStr">
        <is>
          <t>1. Enter minimum allowed characters
2. Save</t>
        </is>
      </c>
      <c r="G12" s="35" t="inlineStr">
        <is>
          <t>System accepts input if it meets minimum rule, otherwise shows clear validation.</t>
        </is>
      </c>
      <c r="H12" s="37" t="inlineStr">
        <is>
          <t>Medium</t>
        </is>
      </c>
      <c r="I12" s="37" t="inlineStr">
        <is>
          <t>Boundary</t>
        </is>
      </c>
      <c r="J12" s="37" t="inlineStr">
        <is>
          <t>Not Run</t>
        </is>
      </c>
    </row>
    <row r="13" ht="36" customHeight="1" s="44">
      <c r="A13" s="32" t="inlineStr">
        <is>
          <t>UP-009</t>
        </is>
      </c>
      <c r="B13" s="32" t="inlineStr">
        <is>
          <t>Profile Information</t>
        </is>
      </c>
      <c r="C13" s="32" t="inlineStr">
        <is>
          <t>Profile</t>
        </is>
      </c>
      <c r="D13" s="32" t="inlineStr">
        <is>
          <t>Reject blank profile name when required</t>
        </is>
      </c>
      <c r="E13" s="32" t="inlineStr">
        <is>
          <t>User is logged in</t>
        </is>
      </c>
      <c r="F13" s="32" t="inlineStr">
        <is>
          <t>1. Clear profile name
2. Save changes</t>
        </is>
      </c>
      <c r="G13" s="32" t="inlineStr">
        <is>
          <t>System prevents save and shows required-field validation if profile name is mandatory.</t>
        </is>
      </c>
      <c r="H13" s="34" t="inlineStr">
        <is>
          <t>High</t>
        </is>
      </c>
      <c r="I13" s="34" t="inlineStr">
        <is>
          <t>Negative</t>
        </is>
      </c>
      <c r="J13" s="34" t="inlineStr">
        <is>
          <t>Not Run</t>
        </is>
      </c>
    </row>
    <row r="14" ht="36" customHeight="1" s="44">
      <c r="A14" s="35" t="inlineStr">
        <is>
          <t>UP-010</t>
        </is>
      </c>
      <c r="B14" s="35" t="inlineStr">
        <is>
          <t>Profile Information</t>
        </is>
      </c>
      <c r="C14" s="35" t="inlineStr">
        <is>
          <t>Profile</t>
        </is>
      </c>
      <c r="D14" s="35" t="inlineStr">
        <is>
          <t>Trim leading and trailing spaces in profile name</t>
        </is>
      </c>
      <c r="E14" s="35" t="inlineStr">
        <is>
          <t>User is logged in</t>
        </is>
      </c>
      <c r="F14" s="35" t="inlineStr">
        <is>
          <t>1. Enter name with spaces before/after
2. Save</t>
        </is>
      </c>
      <c r="G14" s="35" t="inlineStr">
        <is>
          <t>Saved value is trimmed or consistently handled per requirement without duplicate spacing.</t>
        </is>
      </c>
      <c r="H14" s="37" t="inlineStr">
        <is>
          <t>Medium</t>
        </is>
      </c>
      <c r="I14" s="35" t="inlineStr">
        <is>
          <t>Edge</t>
        </is>
      </c>
      <c r="J14" s="37" t="inlineStr">
        <is>
          <t>Not Run</t>
        </is>
      </c>
    </row>
    <row r="15" ht="36" customHeight="1" s="44">
      <c r="A15" s="32" t="inlineStr">
        <is>
          <t>UP-011</t>
        </is>
      </c>
      <c r="B15" s="32" t="inlineStr">
        <is>
          <t>Profile Information</t>
        </is>
      </c>
      <c r="C15" s="32" t="inlineStr">
        <is>
          <t>Location</t>
        </is>
      </c>
      <c r="D15" s="32" t="inlineStr">
        <is>
          <t>Save valid location text</t>
        </is>
      </c>
      <c r="E15" s="32" t="inlineStr">
        <is>
          <t>User is logged in</t>
        </is>
      </c>
      <c r="F15" s="32" t="inlineStr">
        <is>
          <t>1. Enter valid location
2. Save</t>
        </is>
      </c>
      <c r="G15" s="32" t="inlineStr">
        <is>
          <t>Location saves successfully and displays correctly.</t>
        </is>
      </c>
      <c r="H15" s="34" t="inlineStr">
        <is>
          <t>High</t>
        </is>
      </c>
      <c r="I15" s="34" t="inlineStr">
        <is>
          <t>Positive</t>
        </is>
      </c>
      <c r="J15" s="34" t="inlineStr">
        <is>
          <t>Not Run</t>
        </is>
      </c>
    </row>
    <row r="16" ht="36" customHeight="1" s="44">
      <c r="A16" s="35" t="inlineStr">
        <is>
          <t>UP-012</t>
        </is>
      </c>
      <c r="B16" s="35" t="inlineStr">
        <is>
          <t>Profile Information</t>
        </is>
      </c>
      <c r="C16" s="35" t="inlineStr">
        <is>
          <t>Bio/Description</t>
        </is>
      </c>
      <c r="D16" s="35" t="inlineStr">
        <is>
          <t>Save profile bio/description within limit</t>
        </is>
      </c>
      <c r="E16" s="35" t="inlineStr">
        <is>
          <t>User is logged in</t>
        </is>
      </c>
      <c r="F16" s="35" t="inlineStr">
        <is>
          <t>1. Enter valid bio text
2. Save</t>
        </is>
      </c>
      <c r="G16" s="35" t="inlineStr">
        <is>
          <t>Bio/description saves successfully and persists after refresh.</t>
        </is>
      </c>
      <c r="H16" s="37" t="inlineStr">
        <is>
          <t>High</t>
        </is>
      </c>
      <c r="I16" s="37" t="inlineStr">
        <is>
          <t>Positive</t>
        </is>
      </c>
      <c r="J16" s="37" t="inlineStr">
        <is>
          <t>Not Run</t>
        </is>
      </c>
    </row>
    <row r="17" ht="36" customHeight="1" s="44">
      <c r="A17" s="32" t="inlineStr">
        <is>
          <t>UP-013</t>
        </is>
      </c>
      <c r="B17" s="32" t="inlineStr">
        <is>
          <t>Profile Information</t>
        </is>
      </c>
      <c r="C17" s="32" t="inlineStr">
        <is>
          <t>Bio/Description</t>
        </is>
      </c>
      <c r="D17" s="32" t="inlineStr">
        <is>
          <t>Reject bio/description exceeding maximum character limit</t>
        </is>
      </c>
      <c r="E17" s="32" t="inlineStr">
        <is>
          <t>User is logged in</t>
        </is>
      </c>
      <c r="F17" s="32" t="inlineStr">
        <is>
          <t>1. Paste text exceeding max length
2. Save</t>
        </is>
      </c>
      <c r="G17" s="32" t="inlineStr">
        <is>
          <t>System blocks save or truncates per requirement and shows validation message.</t>
        </is>
      </c>
      <c r="H17" s="34" t="inlineStr">
        <is>
          <t>High</t>
        </is>
      </c>
      <c r="I17" s="34" t="inlineStr">
        <is>
          <t>Boundary</t>
        </is>
      </c>
      <c r="J17" s="34" t="inlineStr">
        <is>
          <t>Not Run</t>
        </is>
      </c>
    </row>
    <row r="18" ht="36" customHeight="1" s="44">
      <c r="A18" s="35" t="inlineStr">
        <is>
          <t>UP-014</t>
        </is>
      </c>
      <c r="B18" s="35" t="inlineStr">
        <is>
          <t>Profile Information</t>
        </is>
      </c>
      <c r="C18" s="35" t="inlineStr">
        <is>
          <t>Bio/Description</t>
        </is>
      </c>
      <c r="D18" s="35" t="inlineStr">
        <is>
          <t>Allow special characters commonly used in bio</t>
        </is>
      </c>
      <c r="E18" s="35" t="inlineStr">
        <is>
          <t>User is logged in</t>
        </is>
      </c>
      <c r="F18" s="35" t="inlineStr">
        <is>
          <t>1. Enter bio with punctuation
2. Save</t>
        </is>
      </c>
      <c r="G18" s="35" t="inlineStr">
        <is>
          <t>System accepts common punctuation and renders text safely.</t>
        </is>
      </c>
      <c r="H18" s="37" t="inlineStr">
        <is>
          <t>Medium</t>
        </is>
      </c>
      <c r="I18" s="35" t="inlineStr">
        <is>
          <t>Edge</t>
        </is>
      </c>
      <c r="J18" s="37" t="inlineStr">
        <is>
          <t>Not Run</t>
        </is>
      </c>
    </row>
    <row r="19" ht="36" customHeight="1" s="44">
      <c r="A19" s="32" t="inlineStr">
        <is>
          <t>UP-015</t>
        </is>
      </c>
      <c r="B19" s="32" t="inlineStr">
        <is>
          <t>Profile Information</t>
        </is>
      </c>
      <c r="C19" s="32" t="inlineStr">
        <is>
          <t>Bio/Description</t>
        </is>
      </c>
      <c r="D19" s="32" t="inlineStr">
        <is>
          <t>Prevent HTML/JS injection in bio</t>
        </is>
      </c>
      <c r="E19" s="32" t="inlineStr">
        <is>
          <t>User is logged in</t>
        </is>
      </c>
      <c r="F19" s="32" t="inlineStr">
        <is>
          <t>1. Enter script/html in bio
2. Save</t>
        </is>
      </c>
      <c r="G19" s="32" t="inlineStr">
        <is>
          <t>Input is sanitized/escaped; no script executes in edit or view mode.</t>
        </is>
      </c>
      <c r="H19" s="34" t="inlineStr">
        <is>
          <t>High</t>
        </is>
      </c>
      <c r="I19" s="34" t="inlineStr">
        <is>
          <t>Security</t>
        </is>
      </c>
      <c r="J19" s="34" t="inlineStr">
        <is>
          <t>Not Run</t>
        </is>
      </c>
    </row>
    <row r="20" ht="36" customHeight="1" s="44">
      <c r="A20" s="35" t="inlineStr">
        <is>
          <t>UP-016</t>
        </is>
      </c>
      <c r="B20" s="35" t="inlineStr">
        <is>
          <t>Profile Information</t>
        </is>
      </c>
      <c r="C20" s="35" t="inlineStr">
        <is>
          <t>Sub-location</t>
        </is>
      </c>
      <c r="D20" s="35" t="inlineStr">
        <is>
          <t>Save valid sub-location</t>
        </is>
      </c>
      <c r="E20" s="35" t="inlineStr">
        <is>
          <t>User is logged in</t>
        </is>
      </c>
      <c r="F20" s="35" t="inlineStr">
        <is>
          <t>1. Enter sub-location
2. Save</t>
        </is>
      </c>
      <c r="G20" s="35" t="inlineStr">
        <is>
          <t>Sub-location saves successfully.</t>
        </is>
      </c>
      <c r="H20" s="37" t="inlineStr">
        <is>
          <t>Medium</t>
        </is>
      </c>
      <c r="I20" s="37" t="inlineStr">
        <is>
          <t>Positive</t>
        </is>
      </c>
      <c r="J20" s="37" t="inlineStr">
        <is>
          <t>Not Run</t>
        </is>
      </c>
    </row>
    <row r="21" ht="36" customHeight="1" s="44">
      <c r="A21" s="32" t="inlineStr">
        <is>
          <t>UP-017</t>
        </is>
      </c>
      <c r="B21" s="32" t="inlineStr">
        <is>
          <t>Profile Information</t>
        </is>
      </c>
      <c r="C21" s="32" t="inlineStr">
        <is>
          <t>Sub-location Visibility</t>
        </is>
      </c>
      <c r="D21" s="32" t="inlineStr">
        <is>
          <t>Toggle 'Show sub-location in profile' on</t>
        </is>
      </c>
      <c r="E21" s="32" t="inlineStr">
        <is>
          <t>User is logged in with sub-location populated</t>
        </is>
      </c>
      <c r="F21" s="32" t="inlineStr">
        <is>
          <t>1. Enable toggle
2. Save
3. View public profile</t>
        </is>
      </c>
      <c r="G21" s="32" t="inlineStr">
        <is>
          <t>Sub-location is visible in profile where applicable.</t>
        </is>
      </c>
      <c r="H21" s="34" t="inlineStr">
        <is>
          <t>Medium</t>
        </is>
      </c>
      <c r="I21" s="34" t="inlineStr">
        <is>
          <t>Positive</t>
        </is>
      </c>
      <c r="J21" s="34" t="inlineStr">
        <is>
          <t>Not Run</t>
        </is>
      </c>
    </row>
    <row r="22" ht="36" customHeight="1" s="44">
      <c r="A22" s="35" t="inlineStr">
        <is>
          <t>UP-018</t>
        </is>
      </c>
      <c r="B22" s="35" t="inlineStr">
        <is>
          <t>Profile Information</t>
        </is>
      </c>
      <c r="C22" s="35" t="inlineStr">
        <is>
          <t>Sub-location Visibility</t>
        </is>
      </c>
      <c r="D22" s="35" t="inlineStr">
        <is>
          <t>Toggle 'Show sub-location in profile' off</t>
        </is>
      </c>
      <c r="E22" s="35" t="inlineStr">
        <is>
          <t>User is logged in with sub-location populated</t>
        </is>
      </c>
      <c r="F22" s="35" t="inlineStr">
        <is>
          <t>1. Disable toggle
2. Save
3. View public profile</t>
        </is>
      </c>
      <c r="G22" s="35" t="inlineStr">
        <is>
          <t>Sub-location is hidden in public/profile display while still stored if designed so.</t>
        </is>
      </c>
      <c r="H22" s="37" t="inlineStr">
        <is>
          <t>Medium</t>
        </is>
      </c>
      <c r="I22" s="37" t="inlineStr">
        <is>
          <t>Positive</t>
        </is>
      </c>
      <c r="J22" s="37" t="inlineStr">
        <is>
          <t>Not Run</t>
        </is>
      </c>
    </row>
    <row r="23" ht="36" customHeight="1" s="44">
      <c r="A23" s="32" t="inlineStr">
        <is>
          <t>UP-019</t>
        </is>
      </c>
      <c r="B23" s="32" t="inlineStr">
        <is>
          <t>Profile Information</t>
        </is>
      </c>
      <c r="C23" s="32" t="inlineStr">
        <is>
          <t>Buttons</t>
        </is>
      </c>
      <c r="D23" s="32" t="inlineStr">
        <is>
          <t>Cancel discards unsaved profile information changes</t>
        </is>
      </c>
      <c r="E23" s="32" t="inlineStr">
        <is>
          <t>User is logged in</t>
        </is>
      </c>
      <c r="F23" s="32" t="inlineStr">
        <is>
          <t>1. Change profile fields
2. Click Cancel</t>
        </is>
      </c>
      <c r="G23" s="32" t="inlineStr">
        <is>
          <t>Unsaved changes are discarded and original values remain.</t>
        </is>
      </c>
      <c r="H23" s="34" t="inlineStr">
        <is>
          <t>High</t>
        </is>
      </c>
      <c r="I23" s="32" t="inlineStr">
        <is>
          <t>Functional</t>
        </is>
      </c>
      <c r="J23" s="34" t="inlineStr">
        <is>
          <t>Not Run</t>
        </is>
      </c>
    </row>
    <row r="24" ht="36" customHeight="1" s="44">
      <c r="A24" s="35" t="inlineStr">
        <is>
          <t>UP-020</t>
        </is>
      </c>
      <c r="B24" s="35" t="inlineStr">
        <is>
          <t>Profile Information</t>
        </is>
      </c>
      <c r="C24" s="35" t="inlineStr">
        <is>
          <t>Persistence</t>
        </is>
      </c>
      <c r="D24" s="35" t="inlineStr">
        <is>
          <t>Profile information persists after logout/login</t>
        </is>
      </c>
      <c r="E24" s="35" t="inlineStr">
        <is>
          <t>User saved valid changes</t>
        </is>
      </c>
      <c r="F24" s="35" t="inlineStr">
        <is>
          <t>1. Save profile changes
2. Logout
3. Login again</t>
        </is>
      </c>
      <c r="G24" s="35" t="inlineStr">
        <is>
          <t>Saved changes remain visible after re-login.</t>
        </is>
      </c>
      <c r="H24" s="37" t="inlineStr">
        <is>
          <t>High</t>
        </is>
      </c>
      <c r="I24" s="35" t="inlineStr">
        <is>
          <t>Regression</t>
        </is>
      </c>
      <c r="J24" s="37" t="inlineStr">
        <is>
          <t>Not Run</t>
        </is>
      </c>
    </row>
    <row r="25" ht="36" customHeight="1" s="44">
      <c r="A25" s="32" t="inlineStr">
        <is>
          <t>UP-021</t>
        </is>
      </c>
      <c r="B25" s="32" t="inlineStr">
        <is>
          <t>Account Information</t>
        </is>
      </c>
      <c r="C25" s="32" t="inlineStr">
        <is>
          <t>First Name</t>
        </is>
      </c>
      <c r="D25" s="32" t="inlineStr">
        <is>
          <t>Save valid first name</t>
        </is>
      </c>
      <c r="E25" s="32" t="inlineStr">
        <is>
          <t>User is logged in</t>
        </is>
      </c>
      <c r="F25" s="32" t="inlineStr">
        <is>
          <t>1. Enter first name
2. Save</t>
        </is>
      </c>
      <c r="G25" s="32" t="inlineStr">
        <is>
          <t>First name saves successfully.</t>
        </is>
      </c>
      <c r="H25" s="34" t="inlineStr">
        <is>
          <t>High</t>
        </is>
      </c>
      <c r="I25" s="34" t="inlineStr">
        <is>
          <t>Positive</t>
        </is>
      </c>
      <c r="J25" s="34" t="inlineStr">
        <is>
          <t>Not Run</t>
        </is>
      </c>
    </row>
    <row r="26" ht="36" customHeight="1" s="44">
      <c r="A26" s="35" t="inlineStr">
        <is>
          <t>UP-022</t>
        </is>
      </c>
      <c r="B26" s="35" t="inlineStr">
        <is>
          <t>Account Information</t>
        </is>
      </c>
      <c r="C26" s="35" t="inlineStr">
        <is>
          <t>Last Name</t>
        </is>
      </c>
      <c r="D26" s="35" t="inlineStr">
        <is>
          <t>Save valid last name</t>
        </is>
      </c>
      <c r="E26" s="35" t="inlineStr">
        <is>
          <t>User is logged in</t>
        </is>
      </c>
      <c r="F26" s="35" t="inlineStr">
        <is>
          <t>1. Enter last name
2. Save</t>
        </is>
      </c>
      <c r="G26" s="35" t="inlineStr">
        <is>
          <t>Last name saves successfully.</t>
        </is>
      </c>
      <c r="H26" s="37" t="inlineStr">
        <is>
          <t>High</t>
        </is>
      </c>
      <c r="I26" s="37" t="inlineStr">
        <is>
          <t>Positive</t>
        </is>
      </c>
      <c r="J26" s="37" t="inlineStr">
        <is>
          <t>Not Run</t>
        </is>
      </c>
    </row>
    <row r="27" ht="36" customHeight="1" s="44">
      <c r="A27" s="32" t="inlineStr">
        <is>
          <t>UP-023</t>
        </is>
      </c>
      <c r="B27" s="32" t="inlineStr">
        <is>
          <t>Account Information</t>
        </is>
      </c>
      <c r="C27" s="32" t="inlineStr">
        <is>
          <t>Names</t>
        </is>
      </c>
      <c r="D27" s="32" t="inlineStr">
        <is>
          <t>Reject numeric-only first/last name if not allowed</t>
        </is>
      </c>
      <c r="E27" s="32" t="inlineStr">
        <is>
          <t>User is logged in</t>
        </is>
      </c>
      <c r="F27" s="32" t="inlineStr">
        <is>
          <t>1. Enter numeric value in name field
2. Save</t>
        </is>
      </c>
      <c r="G27" s="32" t="inlineStr">
        <is>
          <t>Validation message is shown and save is blocked if numeric-only names are invalid.</t>
        </is>
      </c>
      <c r="H27" s="34" t="inlineStr">
        <is>
          <t>Medium</t>
        </is>
      </c>
      <c r="I27" s="34" t="inlineStr">
        <is>
          <t>Negative</t>
        </is>
      </c>
      <c r="J27" s="34" t="inlineStr">
        <is>
          <t>Not Run</t>
        </is>
      </c>
    </row>
    <row r="28" ht="36" customHeight="1" s="44">
      <c r="A28" s="35" t="inlineStr">
        <is>
          <t>UP-024</t>
        </is>
      </c>
      <c r="B28" s="35" t="inlineStr">
        <is>
          <t>Account Information</t>
        </is>
      </c>
      <c r="C28" s="35" t="inlineStr">
        <is>
          <t>Names</t>
        </is>
      </c>
      <c r="D28" s="35" t="inlineStr">
        <is>
          <t>Allow hyphen/apostrophe in names</t>
        </is>
      </c>
      <c r="E28" s="35" t="inlineStr">
        <is>
          <t>User is logged in</t>
        </is>
      </c>
      <c r="F28" s="35" t="inlineStr">
        <is>
          <t>1. Enter hyphenated/apostrophe name
2. Save</t>
        </is>
      </c>
      <c r="G28" s="35" t="inlineStr">
        <is>
          <t>System accepts supported real-world name characters.</t>
        </is>
      </c>
      <c r="H28" s="37" t="inlineStr">
        <is>
          <t>Medium</t>
        </is>
      </c>
      <c r="I28" s="35" t="inlineStr">
        <is>
          <t>Edge</t>
        </is>
      </c>
      <c r="J28" s="37" t="inlineStr">
        <is>
          <t>Not Run</t>
        </is>
      </c>
    </row>
    <row r="29" ht="36" customHeight="1" s="44">
      <c r="A29" s="32" t="inlineStr">
        <is>
          <t>UP-025</t>
        </is>
      </c>
      <c r="B29" s="32" t="inlineStr">
        <is>
          <t>Account Information</t>
        </is>
      </c>
      <c r="C29" s="32" t="inlineStr">
        <is>
          <t>Gender</t>
        </is>
      </c>
      <c r="D29" s="32" t="inlineStr">
        <is>
          <t>Select and save gender value</t>
        </is>
      </c>
      <c r="E29" s="32" t="inlineStr">
        <is>
          <t>User is logged in</t>
        </is>
      </c>
      <c r="F29" s="32" t="inlineStr">
        <is>
          <t>1. Choose a gender option
2. Save</t>
        </is>
      </c>
      <c r="G29" s="32" t="inlineStr">
        <is>
          <t>Selected value is saved and displayed correctly.</t>
        </is>
      </c>
      <c r="H29" s="34" t="inlineStr">
        <is>
          <t>Medium</t>
        </is>
      </c>
      <c r="I29" s="34" t="inlineStr">
        <is>
          <t>Positive</t>
        </is>
      </c>
      <c r="J29" s="34" t="inlineStr">
        <is>
          <t>Not Run</t>
        </is>
      </c>
    </row>
    <row r="30" ht="36" customHeight="1" s="44">
      <c r="A30" s="35" t="inlineStr">
        <is>
          <t>UP-026</t>
        </is>
      </c>
      <c r="B30" s="35" t="inlineStr">
        <is>
          <t>Account Information</t>
        </is>
      </c>
      <c r="C30" s="35" t="inlineStr">
        <is>
          <t>Gender</t>
        </is>
      </c>
      <c r="D30" s="35" t="inlineStr">
        <is>
          <t>Leave gender unselected if optional</t>
        </is>
      </c>
      <c r="E30" s="35" t="inlineStr">
        <is>
          <t>User is logged in</t>
        </is>
      </c>
      <c r="F30" s="35" t="inlineStr">
        <is>
          <t>1. Leave gender blank
2. Save</t>
        </is>
      </c>
      <c r="G30" s="35" t="inlineStr">
        <is>
          <t>Save succeeds if field is optional; otherwise required validation appears.</t>
        </is>
      </c>
      <c r="H30" s="37" t="inlineStr">
        <is>
          <t>Low</t>
        </is>
      </c>
      <c r="I30" s="35" t="inlineStr">
        <is>
          <t>Edge</t>
        </is>
      </c>
      <c r="J30" s="37" t="inlineStr">
        <is>
          <t>Not Run</t>
        </is>
      </c>
    </row>
    <row r="31" ht="36" customHeight="1" s="44">
      <c r="A31" s="32" t="inlineStr">
        <is>
          <t>UP-027</t>
        </is>
      </c>
      <c r="B31" s="32" t="inlineStr">
        <is>
          <t>Account Information</t>
        </is>
      </c>
      <c r="C31" s="32" t="inlineStr">
        <is>
          <t>Birth Date</t>
        </is>
      </c>
      <c r="D31" s="32" t="inlineStr">
        <is>
          <t>Save valid birth date</t>
        </is>
      </c>
      <c r="E31" s="32" t="inlineStr">
        <is>
          <t>User is logged in</t>
        </is>
      </c>
      <c r="F31" s="32" t="inlineStr">
        <is>
          <t>1. Select birth date
2. Save</t>
        </is>
      </c>
      <c r="G31" s="32" t="inlineStr">
        <is>
          <t>Birth date saves successfully in correct format.</t>
        </is>
      </c>
      <c r="H31" s="34" t="inlineStr">
        <is>
          <t>High</t>
        </is>
      </c>
      <c r="I31" s="34" t="inlineStr">
        <is>
          <t>Positive</t>
        </is>
      </c>
      <c r="J31" s="34" t="inlineStr">
        <is>
          <t>Not Run</t>
        </is>
      </c>
    </row>
    <row r="32" ht="36" customHeight="1" s="44">
      <c r="A32" s="35" t="inlineStr">
        <is>
          <t>UP-028</t>
        </is>
      </c>
      <c r="B32" s="35" t="inlineStr">
        <is>
          <t>Account Information</t>
        </is>
      </c>
      <c r="C32" s="35" t="inlineStr">
        <is>
          <t>Birth Date</t>
        </is>
      </c>
      <c r="D32" s="35" t="inlineStr">
        <is>
          <t>Reject future birth date</t>
        </is>
      </c>
      <c r="E32" s="35" t="inlineStr">
        <is>
          <t>User is logged in</t>
        </is>
      </c>
      <c r="F32" s="35" t="inlineStr">
        <is>
          <t>1. Select future date
2. Save</t>
        </is>
      </c>
      <c r="G32" s="35" t="inlineStr">
        <is>
          <t>System blocks save and shows validation because birth date cannot be in the future.</t>
        </is>
      </c>
      <c r="H32" s="37" t="inlineStr">
        <is>
          <t>High</t>
        </is>
      </c>
      <c r="I32" s="37" t="inlineStr">
        <is>
          <t>Negative</t>
        </is>
      </c>
      <c r="J32" s="37" t="inlineStr">
        <is>
          <t>Not Run</t>
        </is>
      </c>
    </row>
    <row r="33" ht="36" customHeight="1" s="44">
      <c r="A33" s="32" t="inlineStr">
        <is>
          <t>UP-029</t>
        </is>
      </c>
      <c r="B33" s="32" t="inlineStr">
        <is>
          <t>Account Information</t>
        </is>
      </c>
      <c r="C33" s="32" t="inlineStr">
        <is>
          <t>Birth Date</t>
        </is>
      </c>
      <c r="D33" s="32" t="inlineStr">
        <is>
          <t>Handle leap-year birth date correctly</t>
        </is>
      </c>
      <c r="E33" s="32" t="inlineStr">
        <is>
          <t>User is logged in</t>
        </is>
      </c>
      <c r="F33" s="32" t="inlineStr">
        <is>
          <t>1. Select Feb 29 on leap year
2. Save</t>
        </is>
      </c>
      <c r="G33" s="32" t="inlineStr">
        <is>
          <t>System accepts valid leap-year date.</t>
        </is>
      </c>
      <c r="H33" s="34" t="inlineStr">
        <is>
          <t>Medium</t>
        </is>
      </c>
      <c r="I33" s="34" t="inlineStr">
        <is>
          <t>Boundary</t>
        </is>
      </c>
      <c r="J33" s="34" t="inlineStr">
        <is>
          <t>Not Run</t>
        </is>
      </c>
    </row>
    <row r="34" ht="36" customHeight="1" s="44">
      <c r="A34" s="35" t="inlineStr">
        <is>
          <t>UP-030</t>
        </is>
      </c>
      <c r="B34" s="35" t="inlineStr">
        <is>
          <t>Account Information</t>
        </is>
      </c>
      <c r="C34" s="35" t="inlineStr">
        <is>
          <t>Birth Date</t>
        </is>
      </c>
      <c r="D34" s="35" t="inlineStr">
        <is>
          <t>Reject impossible date entry</t>
        </is>
      </c>
      <c r="E34" s="35" t="inlineStr">
        <is>
          <t>User is logged in</t>
        </is>
      </c>
      <c r="F34" s="35" t="inlineStr">
        <is>
          <t>1. Enter invalid date manually if supported
2. Save</t>
        </is>
      </c>
      <c r="G34" s="35" t="inlineStr">
        <is>
          <t>System rejects invalid date with clear validation.</t>
        </is>
      </c>
      <c r="H34" s="37" t="inlineStr">
        <is>
          <t>Medium</t>
        </is>
      </c>
      <c r="I34" s="37" t="inlineStr">
        <is>
          <t>Negative</t>
        </is>
      </c>
      <c r="J34" s="37" t="inlineStr">
        <is>
          <t>Not Run</t>
        </is>
      </c>
    </row>
    <row r="35" ht="36" customHeight="1" s="44">
      <c r="A35" s="32" t="inlineStr">
        <is>
          <t>UP-031</t>
        </is>
      </c>
      <c r="B35" s="32" t="inlineStr">
        <is>
          <t>Account Information</t>
        </is>
      </c>
      <c r="C35" s="32" t="inlineStr">
        <is>
          <t>Email Address</t>
        </is>
      </c>
      <c r="D35" s="32" t="inlineStr">
        <is>
          <t>Display verified email state correctly</t>
        </is>
      </c>
      <c r="E35" s="32" t="inlineStr">
        <is>
          <t>User has verified email</t>
        </is>
      </c>
      <c r="F35" s="32" t="inlineStr">
        <is>
          <t>1. Open profile page</t>
        </is>
      </c>
      <c r="G35" s="32" t="inlineStr">
        <is>
          <t>Verified badge/status is shown correctly for verified email.</t>
        </is>
      </c>
      <c r="H35" s="34" t="inlineStr">
        <is>
          <t>High</t>
        </is>
      </c>
      <c r="I35" s="32" t="inlineStr">
        <is>
          <t>UI</t>
        </is>
      </c>
      <c r="J35" s="34" t="inlineStr">
        <is>
          <t>Not Run</t>
        </is>
      </c>
    </row>
    <row r="36" ht="36" customHeight="1" s="44">
      <c r="A36" s="35" t="inlineStr">
        <is>
          <t>UP-032</t>
        </is>
      </c>
      <c r="B36" s="35" t="inlineStr">
        <is>
          <t>Account Information</t>
        </is>
      </c>
      <c r="C36" s="35" t="inlineStr">
        <is>
          <t>Email Address</t>
        </is>
      </c>
      <c r="D36" s="35" t="inlineStr">
        <is>
          <t>Initiate email change flow via Change action</t>
        </is>
      </c>
      <c r="E36" s="35" t="inlineStr">
        <is>
          <t>User is logged in</t>
        </is>
      </c>
      <c r="F36" s="35" t="inlineStr">
        <is>
          <t>1. Click Change next to email</t>
        </is>
      </c>
      <c r="G36" s="35" t="inlineStr">
        <is>
          <t>System opens email change flow/modal/page and requires valid new email entry.</t>
        </is>
      </c>
      <c r="H36" s="37" t="inlineStr">
        <is>
          <t>High</t>
        </is>
      </c>
      <c r="I36" s="35" t="inlineStr">
        <is>
          <t>Functional</t>
        </is>
      </c>
      <c r="J36" s="37" t="inlineStr">
        <is>
          <t>Not Run</t>
        </is>
      </c>
    </row>
    <row r="37" ht="36" customHeight="1" s="44">
      <c r="A37" s="32" t="inlineStr">
        <is>
          <t>UP-033</t>
        </is>
      </c>
      <c r="B37" s="32" t="inlineStr">
        <is>
          <t>Account Information</t>
        </is>
      </c>
      <c r="C37" s="32" t="inlineStr">
        <is>
          <t>Email Address</t>
        </is>
      </c>
      <c r="D37" s="32" t="inlineStr">
        <is>
          <t>Reject invalid email format during email change</t>
        </is>
      </c>
      <c r="E37" s="32" t="inlineStr">
        <is>
          <t>User started email change flow</t>
        </is>
      </c>
      <c r="F37" s="32" t="inlineStr">
        <is>
          <t>1. Enter invalid email
2. Submit</t>
        </is>
      </c>
      <c r="G37" s="32" t="inlineStr">
        <is>
          <t>System rejects invalid email format and shows validation.</t>
        </is>
      </c>
      <c r="H37" s="34" t="inlineStr">
        <is>
          <t>High</t>
        </is>
      </c>
      <c r="I37" s="34" t="inlineStr">
        <is>
          <t>Negative</t>
        </is>
      </c>
      <c r="J37" s="34" t="inlineStr">
        <is>
          <t>Not Run</t>
        </is>
      </c>
    </row>
    <row r="38" ht="36" customHeight="1" s="44">
      <c r="A38" s="35" t="inlineStr">
        <is>
          <t>UP-034</t>
        </is>
      </c>
      <c r="B38" s="35" t="inlineStr">
        <is>
          <t>Account Information</t>
        </is>
      </c>
      <c r="C38" s="35" t="inlineStr">
        <is>
          <t>Email Address</t>
        </is>
      </c>
      <c r="D38" s="35" t="inlineStr">
        <is>
          <t>Reject already-used email during email change</t>
        </is>
      </c>
      <c r="E38" s="35" t="inlineStr">
        <is>
          <t>Email exists on another account</t>
        </is>
      </c>
      <c r="F38" s="35" t="inlineStr">
        <is>
          <t>1. Enter duplicate email
2. Submit</t>
        </is>
      </c>
      <c r="G38" s="35" t="inlineStr">
        <is>
          <t>System blocks update and shows duplicate-email error.</t>
        </is>
      </c>
      <c r="H38" s="37" t="inlineStr">
        <is>
          <t>High</t>
        </is>
      </c>
      <c r="I38" s="37" t="inlineStr">
        <is>
          <t>Negative</t>
        </is>
      </c>
      <c r="J38" s="37" t="inlineStr">
        <is>
          <t>Not Run</t>
        </is>
      </c>
    </row>
    <row r="39" ht="36" customHeight="1" s="44">
      <c r="A39" s="32" t="inlineStr">
        <is>
          <t>UP-035</t>
        </is>
      </c>
      <c r="B39" s="32" t="inlineStr">
        <is>
          <t>Account Information</t>
        </is>
      </c>
      <c r="C39" s="32" t="inlineStr">
        <is>
          <t>Phone Number</t>
        </is>
      </c>
      <c r="D39" s="32" t="inlineStr">
        <is>
          <t>Display current phone number and Verify action</t>
        </is>
      </c>
      <c r="E39" s="32" t="inlineStr">
        <is>
          <t>User profile has unverified phone number</t>
        </is>
      </c>
      <c r="F39" s="32" t="inlineStr">
        <is>
          <t>1. Open profile page</t>
        </is>
      </c>
      <c r="G39" s="32" t="inlineStr">
        <is>
          <t>Phone number is shown and Verify action is available when unverified.</t>
        </is>
      </c>
      <c r="H39" s="34" t="inlineStr">
        <is>
          <t>High</t>
        </is>
      </c>
      <c r="I39" s="32" t="inlineStr">
        <is>
          <t>UI</t>
        </is>
      </c>
      <c r="J39" s="34" t="inlineStr">
        <is>
          <t>Not Run</t>
        </is>
      </c>
    </row>
    <row r="40" ht="36" customHeight="1" s="44">
      <c r="A40" s="35" t="inlineStr">
        <is>
          <t>UP-036</t>
        </is>
      </c>
      <c r="B40" s="35" t="inlineStr">
        <is>
          <t>Account Information</t>
        </is>
      </c>
      <c r="C40" s="35" t="inlineStr">
        <is>
          <t>Phone Verification</t>
        </is>
      </c>
      <c r="D40" s="35" t="inlineStr">
        <is>
          <t>Verify phone with valid OTP</t>
        </is>
      </c>
      <c r="E40" s="35" t="inlineStr">
        <is>
          <t>User initiated phone verification</t>
        </is>
      </c>
      <c r="F40" s="35" t="inlineStr">
        <is>
          <t>1. Click Verify
2. Enter correct OTP
3. Submit</t>
        </is>
      </c>
      <c r="G40" s="35" t="inlineStr">
        <is>
          <t>Phone becomes verified and status updates accordingly.</t>
        </is>
      </c>
      <c r="H40" s="37" t="inlineStr">
        <is>
          <t>High</t>
        </is>
      </c>
      <c r="I40" s="37" t="inlineStr">
        <is>
          <t>Positive</t>
        </is>
      </c>
      <c r="J40" s="37" t="inlineStr">
        <is>
          <t>Not Run</t>
        </is>
      </c>
    </row>
    <row r="41" ht="36" customHeight="1" s="44">
      <c r="A41" s="32" t="inlineStr">
        <is>
          <t>UP-037</t>
        </is>
      </c>
      <c r="B41" s="32" t="inlineStr">
        <is>
          <t>Account Information</t>
        </is>
      </c>
      <c r="C41" s="32" t="inlineStr">
        <is>
          <t>Phone Number</t>
        </is>
      </c>
      <c r="D41" s="32" t="inlineStr">
        <is>
          <t>Reject invalid phone number format</t>
        </is>
      </c>
      <c r="E41" s="32" t="inlineStr">
        <is>
          <t>User edits phone number if field is editable / during change flow</t>
        </is>
      </c>
      <c r="F41" s="32" t="inlineStr">
        <is>
          <t>1. Enter invalid phone number
2. Save or verify</t>
        </is>
      </c>
      <c r="G41" s="32" t="inlineStr">
        <is>
          <t>System rejects invalid format and shows validation.</t>
        </is>
      </c>
      <c r="H41" s="34" t="inlineStr">
        <is>
          <t>High</t>
        </is>
      </c>
      <c r="I41" s="34" t="inlineStr">
        <is>
          <t>Negative</t>
        </is>
      </c>
      <c r="J41" s="34" t="inlineStr">
        <is>
          <t>Not Run</t>
        </is>
      </c>
    </row>
    <row r="42" ht="36" customHeight="1" s="44">
      <c r="A42" s="35" t="inlineStr">
        <is>
          <t>UP-038</t>
        </is>
      </c>
      <c r="B42" s="35" t="inlineStr">
        <is>
          <t>Account Information</t>
        </is>
      </c>
      <c r="C42" s="35" t="inlineStr">
        <is>
          <t>Phone Verification</t>
        </is>
      </c>
      <c r="D42" s="35" t="inlineStr">
        <is>
          <t>Reject wrong OTP during phone verification</t>
        </is>
      </c>
      <c r="E42" s="35" t="inlineStr">
        <is>
          <t>OTP has been sent</t>
        </is>
      </c>
      <c r="F42" s="35" t="inlineStr">
        <is>
          <t>1. Enter wrong OTP
2. Submit</t>
        </is>
      </c>
      <c r="G42" s="35" t="inlineStr">
        <is>
          <t>System displays invalid OTP error and remains unverified.</t>
        </is>
      </c>
      <c r="H42" s="37" t="inlineStr">
        <is>
          <t>High</t>
        </is>
      </c>
      <c r="I42" s="37" t="inlineStr">
        <is>
          <t>Negative</t>
        </is>
      </c>
      <c r="J42" s="37" t="inlineStr">
        <is>
          <t>Not Run</t>
        </is>
      </c>
    </row>
    <row r="43" ht="36" customHeight="1" s="44">
      <c r="A43" s="32" t="inlineStr">
        <is>
          <t>UP-039</t>
        </is>
      </c>
      <c r="B43" s="32" t="inlineStr">
        <is>
          <t>Account Information</t>
        </is>
      </c>
      <c r="C43" s="32" t="inlineStr">
        <is>
          <t>Phone Verification</t>
        </is>
      </c>
      <c r="D43" s="32" t="inlineStr">
        <is>
          <t>Handle expired OTP during phone verification</t>
        </is>
      </c>
      <c r="E43" s="32" t="inlineStr">
        <is>
          <t>OTP has expired</t>
        </is>
      </c>
      <c r="F43" s="32" t="inlineStr">
        <is>
          <t>1. Enter expired OTP
2. Submit</t>
        </is>
      </c>
      <c r="G43" s="32" t="inlineStr">
        <is>
          <t>System rejects OTP and prompts resend.</t>
        </is>
      </c>
      <c r="H43" s="34" t="inlineStr">
        <is>
          <t>Medium</t>
        </is>
      </c>
      <c r="I43" s="32" t="inlineStr">
        <is>
          <t>Edge</t>
        </is>
      </c>
      <c r="J43" s="34" t="inlineStr">
        <is>
          <t>Not Run</t>
        </is>
      </c>
    </row>
    <row r="44" ht="36" customHeight="1" s="44">
      <c r="A44" s="35" t="inlineStr">
        <is>
          <t>UP-040</t>
        </is>
      </c>
      <c r="B44" s="35" t="inlineStr">
        <is>
          <t>Account Information</t>
        </is>
      </c>
      <c r="C44" s="35" t="inlineStr">
        <is>
          <t>Phone Verification</t>
        </is>
      </c>
      <c r="D44" s="35" t="inlineStr">
        <is>
          <t>Throttle multiple OTP resend attempts</t>
        </is>
      </c>
      <c r="E44" s="35" t="inlineStr">
        <is>
          <t>User is on verification flow</t>
        </is>
      </c>
      <c r="F44" s="35" t="inlineStr">
        <is>
          <t>1. Request OTP resend repeatedly</t>
        </is>
      </c>
      <c r="G44" s="35" t="inlineStr">
        <is>
          <t>System rate-limits resend attempts and shows cooldown/limit message.</t>
        </is>
      </c>
      <c r="H44" s="37" t="inlineStr">
        <is>
          <t>Medium</t>
        </is>
      </c>
      <c r="I44" s="37" t="inlineStr">
        <is>
          <t>Security</t>
        </is>
      </c>
      <c r="J44" s="37" t="inlineStr">
        <is>
          <t>Not Run</t>
        </is>
      </c>
    </row>
    <row r="45" ht="36" customHeight="1" s="44">
      <c r="A45" s="32" t="inlineStr">
        <is>
          <t>UP-041</t>
        </is>
      </c>
      <c r="B45" s="32" t="inlineStr">
        <is>
          <t>Account Information</t>
        </is>
      </c>
      <c r="C45" s="32" t="inlineStr">
        <is>
          <t>Privacy Notice</t>
        </is>
      </c>
      <c r="D45" s="32" t="inlineStr">
        <is>
          <t>Verify phone privacy notice text is displayed</t>
        </is>
      </c>
      <c r="E45" s="32" t="inlineStr">
        <is>
          <t>User is on Account Information section</t>
        </is>
      </c>
      <c r="F45" s="32" t="inlineStr">
        <is>
          <t>1. Observe phone note text</t>
        </is>
      </c>
      <c r="G45" s="32" t="inlineStr">
        <is>
          <t>Privacy note is visible and clearly states phone number is not public except for stated purposes.</t>
        </is>
      </c>
      <c r="H45" s="34" t="inlineStr">
        <is>
          <t>Low</t>
        </is>
      </c>
      <c r="I45" s="32" t="inlineStr">
        <is>
          <t>Content</t>
        </is>
      </c>
      <c r="J45" s="34" t="inlineStr">
        <is>
          <t>Not Run</t>
        </is>
      </c>
    </row>
    <row r="46" ht="36" customHeight="1" s="44">
      <c r="A46" s="35" t="inlineStr">
        <is>
          <t>UP-042</t>
        </is>
      </c>
      <c r="B46" s="35" t="inlineStr">
        <is>
          <t>Account Information</t>
        </is>
      </c>
      <c r="C46" s="35" t="inlineStr">
        <is>
          <t>Buttons</t>
        </is>
      </c>
      <c r="D46" s="35" t="inlineStr">
        <is>
          <t>Cancel discards unsaved account information changes</t>
        </is>
      </c>
      <c r="E46" s="35" t="inlineStr">
        <is>
          <t>User is logged in</t>
        </is>
      </c>
      <c r="F46" s="35" t="inlineStr">
        <is>
          <t>1. Modify account fields
2. Click Cancel</t>
        </is>
      </c>
      <c r="G46" s="35" t="inlineStr">
        <is>
          <t>Unsaved changes are discarded.</t>
        </is>
      </c>
      <c r="H46" s="37" t="inlineStr">
        <is>
          <t>High</t>
        </is>
      </c>
      <c r="I46" s="35" t="inlineStr">
        <is>
          <t>Functional</t>
        </is>
      </c>
      <c r="J46" s="37" t="inlineStr">
        <is>
          <t>Not Run</t>
        </is>
      </c>
    </row>
    <row r="47" ht="36" customHeight="1" s="44">
      <c r="A47" s="32" t="inlineStr">
        <is>
          <t>UP-043</t>
        </is>
      </c>
      <c r="B47" s="32" t="inlineStr">
        <is>
          <t>Account Information</t>
        </is>
      </c>
      <c r="C47" s="32" t="inlineStr">
        <is>
          <t>Save Changes</t>
        </is>
      </c>
      <c r="D47" s="32" t="inlineStr">
        <is>
          <t>Save only changed fields without altering untouched data</t>
        </is>
      </c>
      <c r="E47" s="32" t="inlineStr">
        <is>
          <t>User is logged in with existing profile data</t>
        </is>
      </c>
      <c r="F47" s="32" t="inlineStr">
        <is>
          <t>1. Change one field only
2. Save
3. Reload page</t>
        </is>
      </c>
      <c r="G47" s="32" t="inlineStr">
        <is>
          <t>Only edited field changes; other account info remains intact.</t>
        </is>
      </c>
      <c r="H47" s="34" t="inlineStr">
        <is>
          <t>Medium</t>
        </is>
      </c>
      <c r="I47" s="32" t="inlineStr">
        <is>
          <t>Regression</t>
        </is>
      </c>
      <c r="J47" s="34" t="inlineStr">
        <is>
          <t>Not Run</t>
        </is>
      </c>
    </row>
    <row r="48" ht="36" customHeight="1" s="44">
      <c r="A48" s="35" t="inlineStr">
        <is>
          <t>UP-044</t>
        </is>
      </c>
      <c r="B48" s="35" t="inlineStr">
        <is>
          <t>Security</t>
        </is>
      </c>
      <c r="C48" s="35" t="inlineStr">
        <is>
          <t>Change Password</t>
        </is>
      </c>
      <c r="D48" s="35" t="inlineStr">
        <is>
          <t>Change password with valid current password and matching new passwords</t>
        </is>
      </c>
      <c r="E48" s="35" t="inlineStr">
        <is>
          <t>User knows current password</t>
        </is>
      </c>
      <c r="F48" s="35" t="inlineStr">
        <is>
          <t>1. Enter current password
2. Enter valid new password
3. Confirm same password
4. Update password</t>
        </is>
      </c>
      <c r="G48" s="35" t="inlineStr">
        <is>
          <t>Password updates successfully and success message is shown.</t>
        </is>
      </c>
      <c r="H48" s="37" t="inlineStr">
        <is>
          <t>High</t>
        </is>
      </c>
      <c r="I48" s="37" t="inlineStr">
        <is>
          <t>Positive</t>
        </is>
      </c>
      <c r="J48" s="37" t="inlineStr">
        <is>
          <t>Not Run</t>
        </is>
      </c>
    </row>
    <row r="49" ht="36" customHeight="1" s="44">
      <c r="A49" s="32" t="inlineStr">
        <is>
          <t>UP-045</t>
        </is>
      </c>
      <c r="B49" s="32" t="inlineStr">
        <is>
          <t>Security</t>
        </is>
      </c>
      <c r="C49" s="32" t="inlineStr">
        <is>
          <t>Change Password</t>
        </is>
      </c>
      <c r="D49" s="32" t="inlineStr">
        <is>
          <t>Reject incorrect current password</t>
        </is>
      </c>
      <c r="E49" s="32" t="inlineStr">
        <is>
          <t>User is logged in</t>
        </is>
      </c>
      <c r="F49" s="32" t="inlineStr">
        <is>
          <t>1. Enter wrong current password
2. Enter valid new password
3. Submit</t>
        </is>
      </c>
      <c r="G49" s="32" t="inlineStr">
        <is>
          <t>System blocks update and shows error for incorrect current password.</t>
        </is>
      </c>
      <c r="H49" s="34" t="inlineStr">
        <is>
          <t>High</t>
        </is>
      </c>
      <c r="I49" s="34" t="inlineStr">
        <is>
          <t>Negative</t>
        </is>
      </c>
      <c r="J49" s="34" t="inlineStr">
        <is>
          <t>Not Run</t>
        </is>
      </c>
    </row>
    <row r="50" ht="36" customHeight="1" s="44">
      <c r="A50" s="35" t="inlineStr">
        <is>
          <t>UP-046</t>
        </is>
      </c>
      <c r="B50" s="35" t="inlineStr">
        <is>
          <t>Security</t>
        </is>
      </c>
      <c r="C50" s="35" t="inlineStr">
        <is>
          <t>Change Password</t>
        </is>
      </c>
      <c r="D50" s="35" t="inlineStr">
        <is>
          <t>Reject when new password and confirm password do not match</t>
        </is>
      </c>
      <c r="E50" s="35" t="inlineStr">
        <is>
          <t>User is logged in</t>
        </is>
      </c>
      <c r="F50" s="35" t="inlineStr">
        <is>
          <t>1. Enter current password
2. Enter different values in new and confirm
3. Submit</t>
        </is>
      </c>
      <c r="G50" s="35" t="inlineStr">
        <is>
          <t>System blocks update and shows mismatch validation.</t>
        </is>
      </c>
      <c r="H50" s="37" t="inlineStr">
        <is>
          <t>High</t>
        </is>
      </c>
      <c r="I50" s="37" t="inlineStr">
        <is>
          <t>Negative</t>
        </is>
      </c>
      <c r="J50" s="37" t="inlineStr">
        <is>
          <t>Not Run</t>
        </is>
      </c>
    </row>
    <row r="51" ht="36" customHeight="1" s="44">
      <c r="A51" s="32" t="inlineStr">
        <is>
          <t>UP-047</t>
        </is>
      </c>
      <c r="B51" s="32" t="inlineStr">
        <is>
          <t>Security</t>
        </is>
      </c>
      <c r="C51" s="32" t="inlineStr">
        <is>
          <t>Change Password</t>
        </is>
      </c>
      <c r="D51" s="32" t="inlineStr">
        <is>
          <t>Reject weak new password that does not meet policy</t>
        </is>
      </c>
      <c r="E51" s="32" t="inlineStr">
        <is>
          <t>User is logged in</t>
        </is>
      </c>
      <c r="F51" s="32" t="inlineStr">
        <is>
          <t>1. Enter weak new password
2. Submit</t>
        </is>
      </c>
      <c r="G51" s="32" t="inlineStr">
        <is>
          <t>System shows password policy validation and does not update password.</t>
        </is>
      </c>
      <c r="H51" s="34" t="inlineStr">
        <is>
          <t>High</t>
        </is>
      </c>
      <c r="I51" s="34" t="inlineStr">
        <is>
          <t>Negative</t>
        </is>
      </c>
      <c r="J51" s="34" t="inlineStr">
        <is>
          <t>Not Run</t>
        </is>
      </c>
    </row>
    <row r="52" ht="36" customHeight="1" s="44">
      <c r="A52" s="35" t="inlineStr">
        <is>
          <t>UP-048</t>
        </is>
      </c>
      <c r="B52" s="35" t="inlineStr">
        <is>
          <t>Security</t>
        </is>
      </c>
      <c r="C52" s="35" t="inlineStr">
        <is>
          <t>Change Password</t>
        </is>
      </c>
      <c r="D52" s="35" t="inlineStr">
        <is>
          <t>Reject reuse of current password as new password</t>
        </is>
      </c>
      <c r="E52" s="35" t="inlineStr">
        <is>
          <t>User is logged in</t>
        </is>
      </c>
      <c r="F52" s="35" t="inlineStr">
        <is>
          <t>1. Enter current password as new password
2. Submit</t>
        </is>
      </c>
      <c r="G52" s="35" t="inlineStr">
        <is>
          <t>System blocks reuse if policy disallows it.</t>
        </is>
      </c>
      <c r="H52" s="37" t="inlineStr">
        <is>
          <t>Medium</t>
        </is>
      </c>
      <c r="I52" s="37" t="inlineStr">
        <is>
          <t>Security</t>
        </is>
      </c>
      <c r="J52" s="37" t="inlineStr">
        <is>
          <t>Not Run</t>
        </is>
      </c>
    </row>
    <row r="53" ht="36" customHeight="1" s="44">
      <c r="A53" s="32" t="inlineStr">
        <is>
          <t>UP-049</t>
        </is>
      </c>
      <c r="B53" s="32" t="inlineStr">
        <is>
          <t>Security</t>
        </is>
      </c>
      <c r="C53" s="32" t="inlineStr">
        <is>
          <t>Change Password</t>
        </is>
      </c>
      <c r="D53" s="32" t="inlineStr">
        <is>
          <t>Allow maximum supported password length</t>
        </is>
      </c>
      <c r="E53" s="32" t="inlineStr">
        <is>
          <t>User is logged in</t>
        </is>
      </c>
      <c r="F53" s="32" t="inlineStr">
        <is>
          <t>1. Enter very long valid password within max length
2. Submit</t>
        </is>
      </c>
      <c r="G53" s="32" t="inlineStr">
        <is>
          <t>System accepts password if within supported max length.</t>
        </is>
      </c>
      <c r="H53" s="34" t="inlineStr">
        <is>
          <t>Low</t>
        </is>
      </c>
      <c r="I53" s="34" t="inlineStr">
        <is>
          <t>Boundary</t>
        </is>
      </c>
      <c r="J53" s="34" t="inlineStr">
        <is>
          <t>Not Run</t>
        </is>
      </c>
    </row>
    <row r="54" ht="36" customHeight="1" s="44">
      <c r="A54" s="35" t="inlineStr">
        <is>
          <t>UP-050</t>
        </is>
      </c>
      <c r="B54" s="35" t="inlineStr">
        <is>
          <t>Security</t>
        </is>
      </c>
      <c r="C54" s="35" t="inlineStr">
        <is>
          <t>Change Password</t>
        </is>
      </c>
      <c r="D54" s="35" t="inlineStr">
        <is>
          <t>Reject password exceeding maximum supported length</t>
        </is>
      </c>
      <c r="E54" s="35" t="inlineStr">
        <is>
          <t>User is logged in</t>
        </is>
      </c>
      <c r="F54" s="35" t="inlineStr">
        <is>
          <t>1. Enter overly long password
2. Submit</t>
        </is>
      </c>
      <c r="G54" s="35" t="inlineStr">
        <is>
          <t>System rejects with clear validation or handles safely without truncation bugs.</t>
        </is>
      </c>
      <c r="H54" s="37" t="inlineStr">
        <is>
          <t>Low</t>
        </is>
      </c>
      <c r="I54" s="37" t="inlineStr">
        <is>
          <t>Boundary</t>
        </is>
      </c>
      <c r="J54" s="37" t="inlineStr">
        <is>
          <t>Not Run</t>
        </is>
      </c>
    </row>
    <row r="55" ht="36" customHeight="1" s="44">
      <c r="A55" s="32" t="inlineStr">
        <is>
          <t>UP-051</t>
        </is>
      </c>
      <c r="B55" s="32" t="inlineStr">
        <is>
          <t>Security</t>
        </is>
      </c>
      <c r="C55" s="32" t="inlineStr">
        <is>
          <t>Change Password</t>
        </is>
      </c>
      <c r="D55" s="32" t="inlineStr">
        <is>
          <t>Password fields are masked by default</t>
        </is>
      </c>
      <c r="E55" s="32" t="inlineStr">
        <is>
          <t>User is on Security section</t>
        </is>
      </c>
      <c r="F55" s="32" t="inlineStr">
        <is>
          <t>1. Observe password fields</t>
        </is>
      </c>
      <c r="G55" s="32" t="inlineStr">
        <is>
          <t>Current, new, and confirm password inputs are masked.</t>
        </is>
      </c>
      <c r="H55" s="34" t="inlineStr">
        <is>
          <t>Medium</t>
        </is>
      </c>
      <c r="I55" s="32" t="inlineStr">
        <is>
          <t>UI</t>
        </is>
      </c>
      <c r="J55" s="34" t="inlineStr">
        <is>
          <t>Not Run</t>
        </is>
      </c>
    </row>
    <row r="56" ht="36" customHeight="1" s="44">
      <c r="A56" s="35" t="inlineStr">
        <is>
          <t>UP-052</t>
        </is>
      </c>
      <c r="B56" s="35" t="inlineStr">
        <is>
          <t>Security</t>
        </is>
      </c>
      <c r="C56" s="35" t="inlineStr">
        <is>
          <t>Change Password</t>
        </is>
      </c>
      <c r="D56" s="35" t="inlineStr">
        <is>
          <t>Prevent copy/paste issues and trim unintended spaces in password fields correctly</t>
        </is>
      </c>
      <c r="E56" s="35" t="inlineStr">
        <is>
          <t>User is logged in</t>
        </is>
      </c>
      <c r="F56" s="35" t="inlineStr">
        <is>
          <t>1. Paste values with leading/trailing spaces
2. Submit</t>
        </is>
      </c>
      <c r="G56" s="35" t="inlineStr">
        <is>
          <t>System handles spaces consistently per policy and does not silently corrupt password.</t>
        </is>
      </c>
      <c r="H56" s="37" t="inlineStr">
        <is>
          <t>Low</t>
        </is>
      </c>
      <c r="I56" s="35" t="inlineStr">
        <is>
          <t>Edge</t>
        </is>
      </c>
      <c r="J56" s="37" t="inlineStr">
        <is>
          <t>Not Run</t>
        </is>
      </c>
    </row>
    <row r="57" ht="36" customHeight="1" s="44">
      <c r="A57" s="32" t="inlineStr">
        <is>
          <t>UP-053</t>
        </is>
      </c>
      <c r="B57" s="32" t="inlineStr">
        <is>
          <t>Security</t>
        </is>
      </c>
      <c r="C57" s="32" t="inlineStr">
        <is>
          <t>2FA</t>
        </is>
      </c>
      <c r="D57" s="32" t="inlineStr">
        <is>
          <t>Enable 2FA successfully</t>
        </is>
      </c>
      <c r="E57" s="32" t="inlineStr">
        <is>
          <t>User is logged in and eligible for 2FA</t>
        </is>
      </c>
      <c r="F57" s="32" t="inlineStr">
        <is>
          <t>1. Enable 2FA toggle
2. Complete verification setup if prompted</t>
        </is>
      </c>
      <c r="G57" s="32" t="inlineStr">
        <is>
          <t>2FA is enabled and subsequent login requires second factor.</t>
        </is>
      </c>
      <c r="H57" s="34" t="inlineStr">
        <is>
          <t>High</t>
        </is>
      </c>
      <c r="I57" s="34" t="inlineStr">
        <is>
          <t>Positive</t>
        </is>
      </c>
      <c r="J57" s="34" t="inlineStr">
        <is>
          <t>Not Run</t>
        </is>
      </c>
    </row>
    <row r="58" ht="36" customHeight="1" s="44">
      <c r="A58" s="35" t="inlineStr">
        <is>
          <t>UP-054</t>
        </is>
      </c>
      <c r="B58" s="35" t="inlineStr">
        <is>
          <t>Security</t>
        </is>
      </c>
      <c r="C58" s="35" t="inlineStr">
        <is>
          <t>2FA</t>
        </is>
      </c>
      <c r="D58" s="35" t="inlineStr">
        <is>
          <t>Disable 2FA if allowed with proper confirmation</t>
        </is>
      </c>
      <c r="E58" s="35" t="inlineStr">
        <is>
          <t>2FA is enabled</t>
        </is>
      </c>
      <c r="F58" s="35" t="inlineStr">
        <is>
          <t>1. Disable 2FA
2. Confirm action</t>
        </is>
      </c>
      <c r="G58" s="35" t="inlineStr">
        <is>
          <t>2FA is disabled only after successful confirmation.</t>
        </is>
      </c>
      <c r="H58" s="37" t="inlineStr">
        <is>
          <t>Medium</t>
        </is>
      </c>
      <c r="I58" s="37" t="inlineStr">
        <is>
          <t>Positive</t>
        </is>
      </c>
      <c r="J58" s="37" t="inlineStr">
        <is>
          <t>Not Run</t>
        </is>
      </c>
    </row>
    <row r="59" ht="36" customHeight="1" s="44">
      <c r="A59" s="32" t="inlineStr">
        <is>
          <t>UP-055</t>
        </is>
      </c>
      <c r="B59" s="32" t="inlineStr">
        <is>
          <t>Security</t>
        </is>
      </c>
      <c r="C59" s="32" t="inlineStr">
        <is>
          <t>2FA</t>
        </is>
      </c>
      <c r="D59" s="32" t="inlineStr">
        <is>
          <t>Reject invalid verification code during 2FA setup</t>
        </is>
      </c>
      <c r="E59" s="32" t="inlineStr">
        <is>
          <t>2FA setup initiated</t>
        </is>
      </c>
      <c r="F59" s="32" t="inlineStr">
        <is>
          <t>1. Enter wrong code
2. Submit</t>
        </is>
      </c>
      <c r="G59" s="32" t="inlineStr">
        <is>
          <t>System shows validation and does not enable 2FA.</t>
        </is>
      </c>
      <c r="H59" s="34" t="inlineStr">
        <is>
          <t>High</t>
        </is>
      </c>
      <c r="I59" s="34" t="inlineStr">
        <is>
          <t>Negative</t>
        </is>
      </c>
      <c r="J59" s="34" t="inlineStr">
        <is>
          <t>Not Run</t>
        </is>
      </c>
    </row>
    <row r="60" ht="36" customHeight="1" s="44">
      <c r="A60" s="35" t="inlineStr">
        <is>
          <t>UP-056</t>
        </is>
      </c>
      <c r="B60" s="35" t="inlineStr">
        <is>
          <t>Security</t>
        </is>
      </c>
      <c r="C60" s="35" t="inlineStr">
        <is>
          <t>2FA</t>
        </is>
      </c>
      <c r="D60" s="35" t="inlineStr">
        <is>
          <t>Prevent enabling 2FA without completing setup</t>
        </is>
      </c>
      <c r="E60" s="35" t="inlineStr">
        <is>
          <t>2FA setup initiated</t>
        </is>
      </c>
      <c r="F60" s="35" t="inlineStr">
        <is>
          <t>1. Start 2FA
2. Close modal or navigate away before completion</t>
        </is>
      </c>
      <c r="G60" s="35" t="inlineStr">
        <is>
          <t>2FA remains disabled until setup is fully completed.</t>
        </is>
      </c>
      <c r="H60" s="37" t="inlineStr">
        <is>
          <t>Medium</t>
        </is>
      </c>
      <c r="I60" s="35" t="inlineStr">
        <is>
          <t>Edge</t>
        </is>
      </c>
      <c r="J60" s="37" t="inlineStr">
        <is>
          <t>Not Run</t>
        </is>
      </c>
    </row>
    <row r="61" ht="36" customHeight="1" s="44">
      <c r="A61" s="32" t="inlineStr">
        <is>
          <t>UP-057</t>
        </is>
      </c>
      <c r="B61" s="32" t="inlineStr">
        <is>
          <t>Security</t>
        </is>
      </c>
      <c r="C61" s="32" t="inlineStr">
        <is>
          <t>Active Sessions</t>
        </is>
      </c>
      <c r="D61" s="32" t="inlineStr">
        <is>
          <t>Display no active sessions state correctly</t>
        </is>
      </c>
      <c r="E61" s="32" t="inlineStr">
        <is>
          <t>User has no other tracked sessions</t>
        </is>
      </c>
      <c r="F61" s="32" t="inlineStr">
        <is>
          <t>1. Open Security section</t>
        </is>
      </c>
      <c r="G61" s="32" t="inlineStr">
        <is>
          <t>Message 'No active sessions found.' is displayed appropriately.</t>
        </is>
      </c>
      <c r="H61" s="34" t="inlineStr">
        <is>
          <t>Low</t>
        </is>
      </c>
      <c r="I61" s="32" t="inlineStr">
        <is>
          <t>UI</t>
        </is>
      </c>
      <c r="J61" s="34" t="inlineStr">
        <is>
          <t>Not Run</t>
        </is>
      </c>
    </row>
    <row r="62" ht="36" customHeight="1" s="44">
      <c r="A62" s="35" t="inlineStr">
        <is>
          <t>UP-058</t>
        </is>
      </c>
      <c r="B62" s="35" t="inlineStr">
        <is>
          <t>Security</t>
        </is>
      </c>
      <c r="C62" s="35" t="inlineStr">
        <is>
          <t>Active Sessions</t>
        </is>
      </c>
      <c r="D62" s="35" t="inlineStr">
        <is>
          <t>Display active sessions when they exist</t>
        </is>
      </c>
      <c r="E62" s="35" t="inlineStr">
        <is>
          <t>User has active sessions from another device/browser</t>
        </is>
      </c>
      <c r="F62" s="35" t="inlineStr">
        <is>
          <t>1. Login on another device
2. Refresh security page</t>
        </is>
      </c>
      <c r="G62" s="35" t="inlineStr">
        <is>
          <t>Security page lists active sessions accurately.</t>
        </is>
      </c>
      <c r="H62" s="37" t="inlineStr">
        <is>
          <t>Medium</t>
        </is>
      </c>
      <c r="I62" s="35" t="inlineStr">
        <is>
          <t>Functional</t>
        </is>
      </c>
      <c r="J62" s="37" t="inlineStr">
        <is>
          <t>Not Run</t>
        </is>
      </c>
    </row>
    <row r="63" ht="36" customHeight="1" s="44">
      <c r="A63" s="32" t="inlineStr">
        <is>
          <t>UP-059</t>
        </is>
      </c>
      <c r="B63" s="32" t="inlineStr">
        <is>
          <t>Security</t>
        </is>
      </c>
      <c r="C63" s="32" t="inlineStr">
        <is>
          <t>Last Login</t>
        </is>
      </c>
      <c r="D63" s="32" t="inlineStr">
        <is>
          <t>Display last successful login date/time in correct format and timezone</t>
        </is>
      </c>
      <c r="E63" s="32" t="inlineStr">
        <is>
          <t>User has at least one successful login</t>
        </is>
      </c>
      <c r="F63" s="32" t="inlineStr">
        <is>
          <t>1. Open Security section</t>
        </is>
      </c>
      <c r="G63" s="32" t="inlineStr">
        <is>
          <t>Last Login value is displayed in expected format and timezone.</t>
        </is>
      </c>
      <c r="H63" s="34" t="inlineStr">
        <is>
          <t>Medium</t>
        </is>
      </c>
      <c r="I63" s="32" t="inlineStr">
        <is>
          <t>UI</t>
        </is>
      </c>
      <c r="J63" s="34" t="inlineStr">
        <is>
          <t>Not Run</t>
        </is>
      </c>
    </row>
    <row r="64" ht="36" customHeight="1" s="44">
      <c r="A64" s="35" t="inlineStr">
        <is>
          <t>UP-060</t>
        </is>
      </c>
      <c r="B64" s="35" t="inlineStr">
        <is>
          <t>Security</t>
        </is>
      </c>
      <c r="C64" s="35" t="inlineStr">
        <is>
          <t>Authorization</t>
        </is>
      </c>
      <c r="D64" s="35" t="inlineStr">
        <is>
          <t>Prevent unauthorized access to profile page when logged out</t>
        </is>
      </c>
      <c r="E64" s="35" t="inlineStr">
        <is>
          <t>User is logged out</t>
        </is>
      </c>
      <c r="F64" s="35" t="inlineStr">
        <is>
          <t>1. Navigate directly to profile URL</t>
        </is>
      </c>
      <c r="G64" s="35" t="inlineStr">
        <is>
          <t>User is redirected to login/authorization page.</t>
        </is>
      </c>
      <c r="H64" s="37" t="inlineStr">
        <is>
          <t>High</t>
        </is>
      </c>
      <c r="I64" s="37" t="inlineStr">
        <is>
          <t>Security</t>
        </is>
      </c>
      <c r="J64" s="37" t="inlineStr">
        <is>
          <t>Not Run</t>
        </is>
      </c>
    </row>
    <row r="65" ht="36" customHeight="1" s="44">
      <c r="A65" s="32" t="inlineStr">
        <is>
          <t>UP-061</t>
        </is>
      </c>
      <c r="B65" s="32" t="inlineStr">
        <is>
          <t>General</t>
        </is>
      </c>
      <c r="C65" s="32" t="inlineStr">
        <is>
          <t>Save Actions</t>
        </is>
      </c>
      <c r="D65" s="32" t="inlineStr">
        <is>
          <t>Show success feedback after successful save/update</t>
        </is>
      </c>
      <c r="E65" s="32" t="inlineStr">
        <is>
          <t>User performs any successful save</t>
        </is>
      </c>
      <c r="F65" s="32" t="inlineStr">
        <is>
          <t>1. Save valid changes</t>
        </is>
      </c>
      <c r="G65" s="32" t="inlineStr">
        <is>
          <t>A visible success toast/message is shown and disappears/behaves correctly.</t>
        </is>
      </c>
      <c r="H65" s="34" t="inlineStr">
        <is>
          <t>Medium</t>
        </is>
      </c>
      <c r="I65" s="32" t="inlineStr">
        <is>
          <t>UI</t>
        </is>
      </c>
      <c r="J65" s="34" t="inlineStr">
        <is>
          <t>Not Run</t>
        </is>
      </c>
    </row>
    <row r="66" ht="36" customHeight="1" s="44">
      <c r="A66" s="35" t="inlineStr">
        <is>
          <t>UP-062</t>
        </is>
      </c>
      <c r="B66" s="35" t="inlineStr">
        <is>
          <t>General</t>
        </is>
      </c>
      <c r="C66" s="35" t="inlineStr">
        <is>
          <t>Validation</t>
        </is>
      </c>
      <c r="D66" s="35" t="inlineStr">
        <is>
          <t>Retain user inputs after validation errors where appropriate</t>
        </is>
      </c>
      <c r="E66" s="35" t="inlineStr">
        <is>
          <t>User submits a form with one invalid field</t>
        </is>
      </c>
      <c r="F66" s="35" t="inlineStr">
        <is>
          <t>1. Fill form
2. Trigger validation error</t>
        </is>
      </c>
      <c r="G66" s="35" t="inlineStr">
        <is>
          <t>Valid unsaved inputs remain populated so user does not re-enter everything.</t>
        </is>
      </c>
      <c r="H66" s="37" t="inlineStr">
        <is>
          <t>Medium</t>
        </is>
      </c>
      <c r="I66" s="35" t="inlineStr">
        <is>
          <t>UX</t>
        </is>
      </c>
      <c r="J66" s="37" t="inlineStr">
        <is>
          <t>Not Run</t>
        </is>
      </c>
    </row>
    <row r="67" ht="36" customHeight="1" s="44">
      <c r="A67" s="32" t="inlineStr">
        <is>
          <t>UP-063</t>
        </is>
      </c>
      <c r="B67" s="32" t="inlineStr">
        <is>
          <t>General</t>
        </is>
      </c>
      <c r="C67" s="32" t="inlineStr">
        <is>
          <t>Concurrency</t>
        </is>
      </c>
      <c r="D67" s="32" t="inlineStr">
        <is>
          <t>Handle simultaneous edits from two sessions gracefully</t>
        </is>
      </c>
      <c r="E67" s="32" t="inlineStr">
        <is>
          <t>Same account opened in two browsers</t>
        </is>
      </c>
      <c r="F67" s="32" t="inlineStr">
        <is>
          <t>1. Update profile in session A
2. Update same field in session B
3. Save both</t>
        </is>
      </c>
      <c r="G67" s="32" t="inlineStr">
        <is>
          <t>System handles conflict deterministically and avoids silent data loss.</t>
        </is>
      </c>
      <c r="H67" s="34" t="inlineStr">
        <is>
          <t>Low</t>
        </is>
      </c>
      <c r="I67" s="32" t="inlineStr">
        <is>
          <t>Edge</t>
        </is>
      </c>
      <c r="J67" s="34" t="inlineStr">
        <is>
          <t>Not Run</t>
        </is>
      </c>
    </row>
    <row r="68" ht="36" customHeight="1" s="44">
      <c r="A68" s="35" t="inlineStr">
        <is>
          <t>UP-064</t>
        </is>
      </c>
      <c r="B68" s="35" t="inlineStr">
        <is>
          <t>General</t>
        </is>
      </c>
      <c r="C68" s="35" t="inlineStr">
        <is>
          <t>Performance</t>
        </is>
      </c>
      <c r="D68" s="35" t="inlineStr">
        <is>
          <t>Profile page loads within acceptable time</t>
        </is>
      </c>
      <c r="E68" s="35" t="inlineStr">
        <is>
          <t>User has valid account</t>
        </is>
      </c>
      <c r="F68" s="35" t="inlineStr">
        <is>
          <t>1. Open profile page</t>
        </is>
      </c>
      <c r="G68" s="35" t="inlineStr">
        <is>
          <t>Page loads within defined SLA and all sections render correctly.</t>
        </is>
      </c>
      <c r="H68" s="37" t="inlineStr">
        <is>
          <t>Low</t>
        </is>
      </c>
      <c r="I68" s="35" t="inlineStr">
        <is>
          <t>Non-Functional</t>
        </is>
      </c>
      <c r="J68" s="37" t="inlineStr">
        <is>
          <t>Not Run</t>
        </is>
      </c>
    </row>
    <row r="69" ht="36" customHeight="1" s="44">
      <c r="A69" s="32" t="inlineStr">
        <is>
          <t>UP-065</t>
        </is>
      </c>
      <c r="B69" s="32" t="inlineStr">
        <is>
          <t>General</t>
        </is>
      </c>
      <c r="C69" s="32" t="inlineStr">
        <is>
          <t>Accessibility</t>
        </is>
      </c>
      <c r="D69" s="32" t="inlineStr">
        <is>
          <t>Keyboard-only navigation across profile page controls</t>
        </is>
      </c>
      <c r="E69" s="32" t="inlineStr">
        <is>
          <t>User is on profile page</t>
        </is>
      </c>
      <c r="F69" s="32" t="inlineStr">
        <is>
          <t>1. Navigate with Tab/Shift+Tab/Enter/Space</t>
        </is>
      </c>
      <c r="G69" s="32" t="inlineStr">
        <is>
          <t>All interactive elements are reachable and usable via keyboard.</t>
        </is>
      </c>
      <c r="H69" s="34" t="inlineStr">
        <is>
          <t>Medium</t>
        </is>
      </c>
      <c r="I69" s="34" t="inlineStr">
        <is>
          <t>Accessibility</t>
        </is>
      </c>
      <c r="J69" s="34" t="inlineStr">
        <is>
          <t>Not Run</t>
        </is>
      </c>
    </row>
    <row r="70" ht="36" customHeight="1" s="44">
      <c r="A70" s="35" t="inlineStr">
        <is>
          <t>UP-066</t>
        </is>
      </c>
      <c r="B70" s="35" t="inlineStr">
        <is>
          <t>General</t>
        </is>
      </c>
      <c r="C70" s="35" t="inlineStr">
        <is>
          <t>Accessibility</t>
        </is>
      </c>
      <c r="D70" s="35" t="inlineStr">
        <is>
          <t>Screen-reader friendly labels for inputs, buttons, and status badges</t>
        </is>
      </c>
      <c r="E70" s="35" t="inlineStr">
        <is>
          <t>Assistive technology is enabled</t>
        </is>
      </c>
      <c r="F70" s="35" t="inlineStr">
        <is>
          <t>1. Inspect labels with screen reader</t>
        </is>
      </c>
      <c r="G70" s="35" t="inlineStr">
        <is>
          <t>All controls have meaningful accessible names and status text.</t>
        </is>
      </c>
      <c r="H70" s="37" t="inlineStr">
        <is>
          <t>Medium</t>
        </is>
      </c>
      <c r="I70" s="37" t="inlineStr">
        <is>
          <t>Accessibility</t>
        </is>
      </c>
      <c r="J70" s="37" t="inlineStr">
        <is>
          <t>Not Run</t>
        </is>
      </c>
    </row>
    <row r="71" ht="36" customHeight="1" s="44">
      <c r="A71" s="32" t="inlineStr">
        <is>
          <t>UP-067</t>
        </is>
      </c>
      <c r="B71" s="32" t="inlineStr">
        <is>
          <t>General</t>
        </is>
      </c>
      <c r="C71" s="32" t="inlineStr">
        <is>
          <t>Responsiveness</t>
        </is>
      </c>
      <c r="D71" s="32" t="inlineStr">
        <is>
          <t>Profile page layout behaves correctly on mobile viewport</t>
        </is>
      </c>
      <c r="E71" s="32" t="inlineStr">
        <is>
          <t>User accesses page on small screen</t>
        </is>
      </c>
      <c r="F71" s="32" t="inlineStr">
        <is>
          <t>1. Open profile page on mobile size
2. Edit fields</t>
        </is>
      </c>
      <c r="G71" s="32" t="inlineStr">
        <is>
          <t>Layout is usable, fields/buttons do not overlap or truncate critically.</t>
        </is>
      </c>
      <c r="H71" s="34" t="inlineStr">
        <is>
          <t>Medium</t>
        </is>
      </c>
      <c r="I71" s="32" t="inlineStr">
        <is>
          <t>Responsive</t>
        </is>
      </c>
      <c r="J71" s="34" t="inlineStr">
        <is>
          <t>Not Run</t>
        </is>
      </c>
    </row>
    <row r="72" ht="36" customHeight="1" s="44">
      <c r="A72" s="35" t="inlineStr">
        <is>
          <t>UP-068</t>
        </is>
      </c>
      <c r="B72" s="35" t="inlineStr">
        <is>
          <t>General</t>
        </is>
      </c>
      <c r="C72" s="35" t="inlineStr">
        <is>
          <t>Security Headers/Input</t>
        </is>
      </c>
      <c r="D72" s="35" t="inlineStr">
        <is>
          <t>Prevent XSS via name/location/sub-location fields</t>
        </is>
      </c>
      <c r="E72" s="35" t="inlineStr">
        <is>
          <t>User is logged in</t>
        </is>
      </c>
      <c r="F72" s="35" t="inlineStr">
        <is>
          <t>1. Enter malicious payload in editable text fields
2. Save</t>
        </is>
      </c>
      <c r="G72" s="35" t="inlineStr">
        <is>
          <t>Payload is escaped/sanitized and no script executes anywhere in the app.</t>
        </is>
      </c>
      <c r="H72" s="37" t="inlineStr">
        <is>
          <t>High</t>
        </is>
      </c>
      <c r="I72" s="37" t="inlineStr">
        <is>
          <t>Security</t>
        </is>
      </c>
      <c r="J72" s="37" t="inlineStr">
        <is>
          <t>Not Run</t>
        </is>
      </c>
    </row>
    <row r="73" ht="36" customHeight="1" s="44">
      <c r="A73" s="32" t="inlineStr">
        <is>
          <t>UP-069</t>
        </is>
      </c>
      <c r="B73" s="32" t="inlineStr">
        <is>
          <t>General</t>
        </is>
      </c>
      <c r="C73" s="32" t="inlineStr">
        <is>
          <t>Session Integrity</t>
        </is>
      </c>
      <c r="D73" s="32" t="inlineStr">
        <is>
          <t>Require current authenticated session to save sensitive changes</t>
        </is>
      </c>
      <c r="E73" s="32" t="inlineStr">
        <is>
          <t>User session is expired or invalid</t>
        </is>
      </c>
      <c r="F73" s="32" t="inlineStr">
        <is>
          <t>1. Attempt password/profile save after session expiry</t>
        </is>
      </c>
      <c r="G73" s="32" t="inlineStr">
        <is>
          <t>System prompts re-authentication or blocks save securely.</t>
        </is>
      </c>
      <c r="H73" s="34" t="inlineStr">
        <is>
          <t>High</t>
        </is>
      </c>
      <c r="I73" s="34" t="inlineStr">
        <is>
          <t>Security</t>
        </is>
      </c>
      <c r="J73" s="34" t="inlineStr">
        <is>
          <t>Not Run</t>
        </is>
      </c>
    </row>
    <row r="74" ht="36" customHeight="1" s="44">
      <c r="A74" s="35" t="inlineStr">
        <is>
          <t>UP-070</t>
        </is>
      </c>
      <c r="B74" s="35" t="inlineStr">
        <is>
          <t>General</t>
        </is>
      </c>
      <c r="C74" s="35" t="inlineStr">
        <is>
          <t>Buttons</t>
        </is>
      </c>
      <c r="D74" s="35" t="inlineStr">
        <is>
          <t>Multiple rapid clicks on Save Changes do not create duplicate requests or inconsistent state</t>
        </is>
      </c>
      <c r="E74" s="35" t="inlineStr">
        <is>
          <t>User edited data</t>
        </is>
      </c>
      <c r="F74" s="35" t="inlineStr">
        <is>
          <t>1. Click Save Changes repeatedly</t>
        </is>
      </c>
      <c r="G74" s="35" t="inlineStr">
        <is>
          <t>One logical update occurs; UI prevents duplicate submission.</t>
        </is>
      </c>
      <c r="H74" s="37" t="inlineStr">
        <is>
          <t>Medium</t>
        </is>
      </c>
      <c r="I74" s="35" t="inlineStr">
        <is>
          <t>Edge</t>
        </is>
      </c>
      <c r="J74" s="37" t="inlineStr">
        <is>
          <t>Not Run</t>
        </is>
      </c>
    </row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autoFilter ref="$A$4:$J$74"/>
  <mergeCells count="2">
    <mergeCell ref="A1:J1"/>
    <mergeCell ref="A2:J2"/>
  </mergeCells>
  <dataValidations count="4">
    <dataValidation sqref="J5:J74" showDropDown="0" showInputMessage="0" showErrorMessage="1" allowBlank="1" type="list">
      <formula1>"Not Run,Pass,Fail"</formula1>
    </dataValidation>
    <dataValidation sqref="B5:B74" showDropDown="0" showInputMessage="0" showErrorMessage="1" allowBlank="1" type="list">
      <formula1>"Profile Information,Account Information,Security,General"</formula1>
    </dataValidation>
    <dataValidation sqref="H5:H74" showDropDown="0" showInputMessage="0" showErrorMessage="1" allowBlank="1" type="list">
      <formula1>"High,Medium,Low"</formula1>
    </dataValidation>
    <dataValidation sqref="I5:I74" showDropDown="0" showInputMessage="0" showErrorMessage="1" allowBlank="1" type="list">
      <formula1>"Positive,Negative,Edge,Boundary,Security,Functional,Regression,UI,Content,UX,Non-Functional,Accessibility,Responsive"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FB3C8"/>
    <outlinePr summaryBelow="1" summaryRight="1"/>
    <pageSetUpPr/>
  </sheetPr>
  <dimension ref="A1:D22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19.25" customWidth="1" style="44" min="1" max="1"/>
    <col width="14" customWidth="1" style="44" min="2" max="2"/>
    <col width="26.25" customWidth="1" style="44" min="3" max="3"/>
    <col width="15.75" customWidth="1" style="44" min="4" max="4"/>
    <col width="7.63" customWidth="1" style="44" min="5" max="26"/>
  </cols>
  <sheetData>
    <row r="1">
      <c r="A1" s="53" t="inlineStr">
        <is>
          <t>Coverage Summary</t>
        </is>
      </c>
      <c r="B1" s="51" t="n"/>
      <c r="C1" s="51" t="n"/>
      <c r="D1" s="51" t="n"/>
    </row>
    <row r="2"/>
    <row r="3">
      <c r="A3" s="39" t="inlineStr">
        <is>
          <t>Metric</t>
        </is>
      </c>
      <c r="B3" s="39" t="inlineStr">
        <is>
          <t>Value</t>
        </is>
      </c>
      <c r="C3" s="39" t="inlineStr">
        <is>
          <t>Notes</t>
        </is>
      </c>
      <c r="D3" s="39" t="inlineStr">
        <is>
          <t>Formula/Source</t>
        </is>
      </c>
    </row>
    <row r="4">
      <c r="A4" s="40" t="inlineStr">
        <is>
          <t>Total Test Cases</t>
        </is>
      </c>
      <c r="B4" s="41">
        <f>COUNTA('User Profile Cases'!A:A)-4</f>
        <v/>
      </c>
      <c r="C4" s="40" t="inlineStr">
        <is>
          <t>Number of defined test cases</t>
        </is>
      </c>
      <c r="D4" s="40" t="inlineStr">
        <is>
          <t>Formula</t>
        </is>
      </c>
    </row>
    <row r="5">
      <c r="A5" s="40" t="inlineStr">
        <is>
          <t>High Priority</t>
        </is>
      </c>
      <c r="B5" s="41">
        <f>COUNTIF('User Profile Cases'!H:H,"High")</f>
        <v/>
      </c>
      <c r="C5" s="40" t="inlineStr">
        <is>
          <t>Critical path / risk-heavy cases</t>
        </is>
      </c>
      <c r="D5" s="40" t="inlineStr">
        <is>
          <t>Formula</t>
        </is>
      </c>
    </row>
    <row r="6">
      <c r="A6" s="40" t="inlineStr">
        <is>
          <t>Medium Priority</t>
        </is>
      </c>
      <c r="B6" s="41">
        <f>COUNTIF('User Profile Cases'!H:H,"Medium")</f>
        <v/>
      </c>
      <c r="C6" s="40" t="inlineStr">
        <is>
          <t>Important functional coverage</t>
        </is>
      </c>
      <c r="D6" s="40" t="inlineStr">
        <is>
          <t>Formula</t>
        </is>
      </c>
    </row>
    <row r="7">
      <c r="A7" s="40" t="inlineStr">
        <is>
          <t>Low Priority</t>
        </is>
      </c>
      <c r="B7" s="41">
        <f>COUNTIF('User Profile Cases'!H:H,"Low")</f>
        <v/>
      </c>
      <c r="C7" s="40" t="inlineStr">
        <is>
          <t>Lower-risk / non-critical cases</t>
        </is>
      </c>
      <c r="D7" s="40" t="inlineStr">
        <is>
          <t>Formula</t>
        </is>
      </c>
    </row>
    <row r="8">
      <c r="A8" s="40" t="inlineStr">
        <is>
          <t>Positive Cases</t>
        </is>
      </c>
      <c r="B8" s="41">
        <f>COUNTIF('User Profile Cases'!I:I,"Positive")</f>
        <v/>
      </c>
      <c r="C8" s="40" t="inlineStr">
        <is>
          <t>Happy-path scenarios</t>
        </is>
      </c>
      <c r="D8" s="40" t="inlineStr">
        <is>
          <t>Formula</t>
        </is>
      </c>
    </row>
    <row r="9">
      <c r="A9" s="40" t="inlineStr">
        <is>
          <t>Negative Cases</t>
        </is>
      </c>
      <c r="B9" s="41">
        <f>COUNTIF('User Profile Cases'!I:I,"Negative")</f>
        <v/>
      </c>
      <c r="C9" s="40" t="inlineStr">
        <is>
          <t>Validation / error coverage</t>
        </is>
      </c>
      <c r="D9" s="40" t="inlineStr">
        <is>
          <t>Formula</t>
        </is>
      </c>
    </row>
    <row r="10">
      <c r="A10" s="40" t="inlineStr">
        <is>
          <t>Boundary Cases</t>
        </is>
      </c>
      <c r="B10" s="41">
        <f>COUNTIF('User Profile Cases'!I:I,"Boundary")</f>
        <v/>
      </c>
      <c r="C10" s="40" t="inlineStr">
        <is>
          <t>Boundary-value analysis</t>
        </is>
      </c>
      <c r="D10" s="40" t="inlineStr">
        <is>
          <t>Formula</t>
        </is>
      </c>
    </row>
    <row r="11">
      <c r="A11" s="40" t="inlineStr">
        <is>
          <t>Security Cases</t>
        </is>
      </c>
      <c r="B11" s="41">
        <f>COUNTIF('User Profile Cases'!I:I,"Security")</f>
        <v/>
      </c>
      <c r="C11" s="40" t="inlineStr">
        <is>
          <t>Security-focused coverage</t>
        </is>
      </c>
      <c r="D11" s="40" t="inlineStr">
        <is>
          <t>Formula</t>
        </is>
      </c>
    </row>
    <row r="12">
      <c r="A12" s="40" t="inlineStr">
        <is>
          <t>Accessibility Cases</t>
        </is>
      </c>
      <c r="B12" s="41">
        <f>COUNTIF('User Profile Cases'!I:I,"Accessibility")</f>
        <v/>
      </c>
      <c r="C12" s="40" t="inlineStr">
        <is>
          <t>Accessibility coverage</t>
        </is>
      </c>
      <c r="D12" s="40" t="inlineStr">
        <is>
          <t>Formula</t>
        </is>
      </c>
    </row>
    <row r="13"/>
    <row r="14"/>
    <row r="15">
      <c r="A15" s="42" t="inlineStr">
        <is>
          <t>Notes</t>
        </is>
      </c>
    </row>
    <row r="16">
      <c r="A16" s="16" t="inlineStr">
        <is>
          <t>Adapt validations such as min/max lengths, allowed file types, OTP expiry, and password rules to your live product requirements.</t>
        </is>
      </c>
    </row>
    <row r="17">
      <c r="A17" s="51" t="n"/>
      <c r="B17" s="51" t="n"/>
      <c r="C17" s="51" t="n"/>
      <c r="D17" s="51" t="n"/>
    </row>
    <row r="18"/>
    <row r="19"/>
    <row r="20">
      <c r="A20" s="20" t="inlineStr">
        <is>
          <t>NOTES</t>
        </is>
      </c>
    </row>
    <row r="21" ht="15.75" customHeight="1" s="44">
      <c r="A21" s="20" t="inlineStr">
        <is>
          <t>UX Improvement- photo uploads should have limit of 10mb at most</t>
        </is>
      </c>
    </row>
    <row r="22" ht="15.75" customHeight="1" s="44">
      <c r="A22" s="20" t="inlineStr">
        <is>
          <t>Email copies and general site copies</t>
        </is>
      </c>
    </row>
    <row r="23" ht="15.75" customHeight="1" s="44"/>
    <row r="24" ht="15.75" customHeight="1" s="44"/>
    <row r="25" ht="15.75" customHeight="1" s="44"/>
    <row r="26" ht="15.75" customHeight="1" s="44"/>
    <row r="27" ht="15.75" customHeight="1" s="44"/>
    <row r="28" ht="15.75" customHeight="1" s="44"/>
    <row r="29" ht="15.75" customHeight="1" s="44"/>
    <row r="30" ht="15.75" customHeight="1" s="44"/>
    <row r="31" ht="15.75" customHeight="1" s="44"/>
    <row r="32" ht="15.75" customHeight="1" s="44"/>
    <row r="33" ht="15.75" customHeight="1" s="44"/>
    <row r="34" ht="15.75" customHeight="1" s="44"/>
    <row r="35" ht="15.75" customHeight="1" s="44"/>
    <row r="36" ht="15.75" customHeight="1" s="44"/>
    <row r="37" ht="15.75" customHeight="1" s="44"/>
    <row r="38" ht="15.75" customHeight="1" s="44"/>
    <row r="39" ht="15.75" customHeight="1" s="44"/>
    <row r="40" ht="15.75" customHeight="1" s="44"/>
    <row r="41" ht="15.75" customHeight="1" s="44"/>
    <row r="42" ht="15.75" customHeight="1" s="44"/>
    <row r="43" ht="15.75" customHeight="1" s="44"/>
    <row r="44" ht="15.75" customHeight="1" s="44"/>
    <row r="45" ht="15.75" customHeight="1" s="44"/>
    <row r="46" ht="15.75" customHeight="1" s="44"/>
    <row r="47" ht="15.75" customHeight="1" s="44"/>
    <row r="48" ht="15.75" customHeight="1" s="44"/>
    <row r="49" ht="15.75" customHeight="1" s="44"/>
    <row r="50" ht="15.75" customHeight="1" s="44"/>
    <row r="51" ht="15.75" customHeight="1" s="44"/>
    <row r="52" ht="15.75" customHeight="1" s="44"/>
    <row r="53" ht="15.75" customHeight="1" s="44"/>
    <row r="54" ht="15.75" customHeight="1" s="44"/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2">
    <mergeCell ref="A1:D1"/>
    <mergeCell ref="A16:D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2026-03-31T13:44:27Z</dcterms:created>
  <dcterms:modified xmlns:dcterms="http://purl.org/dc/terms/" xmlns:xsi="http://www.w3.org/2001/XMLSchema-instance" xsi:type="dcterms:W3CDTF">2026-03-31T13:44:27Z</dcterms:modified>
</cp:coreProperties>
</file>